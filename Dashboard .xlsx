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rrie\Desktop\"/>
    </mc:Choice>
  </mc:AlternateContent>
  <xr:revisionPtr revIDLastSave="0" documentId="8_{95D7DD53-774D-4212-8F69-7D6BF7B7F0B7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ivot_Calc" sheetId="5" state="hidden" r:id="rId1"/>
    <sheet name="Dashboard" sheetId="6" r:id="rId2"/>
    <sheet name="Clean_Data" sheetId="4" state="hidden" r:id="rId3"/>
    <sheet name="Raw_Data" sheetId="1" state="hidden" r:id="rId4"/>
  </sheets>
  <definedNames>
    <definedName name="_xlcn.WorksheetConnection_Month1_Executive_Travel_Tracker.xlsxClean_Data" hidden="1">Clean_Data[]</definedName>
    <definedName name="ExternalData_1" localSheetId="2" hidden="1">'Clean_Data'!$A$1:$G$151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</pivotCaches>
  <extLst>
    <ext xmlns:x15="http://schemas.microsoft.com/office/spreadsheetml/2010/11/main" uri="{FCE2AD5D-F65C-4FA6-A056-5C36A1767C68}">
      <x15:dataModel>
        <x15:modelTables>
          <x15:modelTable id="Clean_Data" name="Clean_Data" connection="WorksheetConnection_Month1_Executive_Travel_Tracker.xlsx!Clean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5" l="1"/>
  <c r="E13" i="5" s="1"/>
  <c r="F13" i="5" s="1"/>
  <c r="A1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4DF43D-A219-407F-B0C8-53D1DE3FE6E0}" keepAlive="1" name="Query - Clean_Data" description="Connection to the 'Clean_Data' query in the workbook." type="5" refreshedVersion="8" background="1" saveData="1">
    <dbPr connection="Provider=Microsoft.Mashup.OleDb.1;Data Source=$Workbook$;Location=Clean_Data;Extended Properties=&quot;&quot;" command="SELECT * FROM [Clean_Data]"/>
  </connection>
  <connection id="2" xr16:uid="{E665A7BE-0A59-418E-930D-92187A97A11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55FAF83-5A73-4468-A191-94931A958392}" name="WorksheetConnection_Month1_Executive_Travel_Tracker.xlsx!Clean_Data" type="102" refreshedVersion="8" minRefreshableVersion="5">
    <extLst>
      <ext xmlns:x15="http://schemas.microsoft.com/office/spreadsheetml/2010/11/main" uri="{DE250136-89BD-433C-8126-D09CA5730AF9}">
        <x15:connection id="Clean_Data" autoDelete="1">
          <x15:rangePr sourceName="_xlcn.WorksheetConnection_Month1_Executive_Travel_Tracker.xlsxClean_Data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Clean_Data].[Status].&amp;[PENDING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<sst xmlns="http://schemas.openxmlformats.org/spreadsheetml/2006/main" count="1840" uniqueCount="626">
  <si>
    <t>Date</t>
  </si>
  <si>
    <t>Category</t>
  </si>
  <si>
    <t>Description</t>
  </si>
  <si>
    <t>Amount</t>
  </si>
  <si>
    <t>Currency</t>
  </si>
  <si>
    <t>City</t>
  </si>
  <si>
    <t>Status</t>
  </si>
  <si>
    <t>Hotel</t>
  </si>
  <si>
    <t>Hotel Expense 1</t>
  </si>
  <si>
    <t>EUR</t>
  </si>
  <si>
    <t>London</t>
  </si>
  <si>
    <t>Pending</t>
  </si>
  <si>
    <t>Flight</t>
  </si>
  <si>
    <t>Flight Expense 2</t>
  </si>
  <si>
    <t>Paris</t>
  </si>
  <si>
    <t>Flight Expense 3</t>
  </si>
  <si>
    <t>USD</t>
  </si>
  <si>
    <t>Paid</t>
  </si>
  <si>
    <t>Flight Expense 4</t>
  </si>
  <si>
    <t>New York</t>
  </si>
  <si>
    <t>Flight Expense 5</t>
  </si>
  <si>
    <t>Meal</t>
  </si>
  <si>
    <t>Meal Expense 6</t>
  </si>
  <si>
    <t>Rome</t>
  </si>
  <si>
    <t>Meal Expense 7</t>
  </si>
  <si>
    <t>GBP</t>
  </si>
  <si>
    <t>Flight Expense 8</t>
  </si>
  <si>
    <t>Flight Expense 9</t>
  </si>
  <si>
    <t>Meal Expense 10</t>
  </si>
  <si>
    <t>Flight Expense 11</t>
  </si>
  <si>
    <t>Hotel Expense 12</t>
  </si>
  <si>
    <t>Miami</t>
  </si>
  <si>
    <t>Flight Expense 13</t>
  </si>
  <si>
    <t>Hotel Expense 14</t>
  </si>
  <si>
    <t>Meal Expense 15</t>
  </si>
  <si>
    <t>Berlin</t>
  </si>
  <si>
    <t>Flight Expense 16</t>
  </si>
  <si>
    <t>Transport</t>
  </si>
  <si>
    <t>Transport Expense 17</t>
  </si>
  <si>
    <t>Hotel Expense 18</t>
  </si>
  <si>
    <t>Transport Expense 19</t>
  </si>
  <si>
    <t>Hotel Expense 20</t>
  </si>
  <si>
    <t>Flight Expense 21</t>
  </si>
  <si>
    <t>Meal Expense 22</t>
  </si>
  <si>
    <t>Flight Expense 23</t>
  </si>
  <si>
    <t>Meal Expense 24</t>
  </si>
  <si>
    <t>Flight Expense 25</t>
  </si>
  <si>
    <t>Hotel Expense 26</t>
  </si>
  <si>
    <t>Meal Expense 27</t>
  </si>
  <si>
    <t>Flight Expense 28</t>
  </si>
  <si>
    <t>Transport Expense 29</t>
  </si>
  <si>
    <t>Transport Expense 30</t>
  </si>
  <si>
    <t>Transport Expense 31</t>
  </si>
  <si>
    <t>Meal Expense 32</t>
  </si>
  <si>
    <t>Meal Expense 33</t>
  </si>
  <si>
    <t>Meal Expense 34</t>
  </si>
  <si>
    <t>Flight Expense 35</t>
  </si>
  <si>
    <t>Meal Expense 36</t>
  </si>
  <si>
    <t>Flight Expense 37</t>
  </si>
  <si>
    <t>Transport Expense 38</t>
  </si>
  <si>
    <t>Meal Expense 39</t>
  </si>
  <si>
    <t>Transport Expense 40</t>
  </si>
  <si>
    <t>Transport Expense 41</t>
  </si>
  <si>
    <t>Hotel Expense 42</t>
  </si>
  <si>
    <t>Transport Expense 43</t>
  </si>
  <si>
    <t>Meal Expense 44</t>
  </si>
  <si>
    <t>Hotel Expense 45</t>
  </si>
  <si>
    <t>Flight Expense 46</t>
  </si>
  <si>
    <t>Flight Expense 47</t>
  </si>
  <si>
    <t>Hotel Expense 48</t>
  </si>
  <si>
    <t>Transport Expense 49</t>
  </si>
  <si>
    <t>Meal Expense 50</t>
  </si>
  <si>
    <t>Hotel Expense 51</t>
  </si>
  <si>
    <t>Hotel Expense 52</t>
  </si>
  <si>
    <t>Flight Expense 53</t>
  </si>
  <si>
    <t>Flight Expense 54</t>
  </si>
  <si>
    <t>Transport Expense 55</t>
  </si>
  <si>
    <t>Flight Expense 56</t>
  </si>
  <si>
    <t>Flight Expense 57</t>
  </si>
  <si>
    <t>Meal Expense 58</t>
  </si>
  <si>
    <t>Transport Expense 59</t>
  </si>
  <si>
    <t>Hotel Expense 60</t>
  </si>
  <si>
    <t>Meal Expense 61</t>
  </si>
  <si>
    <t>Meal Expense 62</t>
  </si>
  <si>
    <t>Meal Expense 63</t>
  </si>
  <si>
    <t>Flight Expense 64</t>
  </si>
  <si>
    <t>Flight Expense 65</t>
  </si>
  <si>
    <t>Hotel Expense 66</t>
  </si>
  <si>
    <t>Hotel Expense 67</t>
  </si>
  <si>
    <t>Hotel Expense 68</t>
  </si>
  <si>
    <t>Hotel Expense 69</t>
  </si>
  <si>
    <t>Meal Expense 70</t>
  </si>
  <si>
    <t>Hotel Expense 71</t>
  </si>
  <si>
    <t>Hotel Expense 72</t>
  </si>
  <si>
    <t>Flight Expense 73</t>
  </si>
  <si>
    <t>Meal Expense 74</t>
  </si>
  <si>
    <t>Meal Expense 75</t>
  </si>
  <si>
    <t>Flight Expense 76</t>
  </si>
  <si>
    <t>Hotel Expense 77</t>
  </si>
  <si>
    <t>Hotel Expense 78</t>
  </si>
  <si>
    <t>Hotel Expense 79</t>
  </si>
  <si>
    <t>Meal Expense 80</t>
  </si>
  <si>
    <t>Hotel Expense 81</t>
  </si>
  <si>
    <t>Hotel Expense 82</t>
  </si>
  <si>
    <t>Flight Expense 83</t>
  </si>
  <si>
    <t>Flight Expense 84</t>
  </si>
  <si>
    <t>Meal Expense 85</t>
  </si>
  <si>
    <t>Flight Expense 86</t>
  </si>
  <si>
    <t>Hotel Expense 87</t>
  </si>
  <si>
    <t>Hotel Expense 88</t>
  </si>
  <si>
    <t>Hotel Expense 89</t>
  </si>
  <si>
    <t>Meal Expense 90</t>
  </si>
  <si>
    <t>Flight Expense 91</t>
  </si>
  <si>
    <t>Transport Expense 92</t>
  </si>
  <si>
    <t>Transport Expense 93</t>
  </si>
  <si>
    <t>Meal Expense 94</t>
  </si>
  <si>
    <t>Flight Expense 95</t>
  </si>
  <si>
    <t>Meal Expense 96</t>
  </si>
  <si>
    <t>Hotel Expense 97</t>
  </si>
  <si>
    <t>Flight Expense 98</t>
  </si>
  <si>
    <t>Meal Expense 99</t>
  </si>
  <si>
    <t>Hotel Expense 100</t>
  </si>
  <si>
    <t>Flight Expense 101</t>
  </si>
  <si>
    <t>Meal Expense 102</t>
  </si>
  <si>
    <t>Flight Expense 103</t>
  </si>
  <si>
    <t>Hotel Expense 104</t>
  </si>
  <si>
    <t>Meal Expense 105</t>
  </si>
  <si>
    <t>Flight Expense 106</t>
  </si>
  <si>
    <t>Meal Expense 107</t>
  </si>
  <si>
    <t>Meal Expense 108</t>
  </si>
  <si>
    <t>Flight Expense 109</t>
  </si>
  <si>
    <t>Flight Expense 110</t>
  </si>
  <si>
    <t>Hotel Expense 111</t>
  </si>
  <si>
    <t>Transport Expense 112</t>
  </si>
  <si>
    <t>Flight Expense 113</t>
  </si>
  <si>
    <t>Meal Expense 114</t>
  </si>
  <si>
    <t>Transport Expense 115</t>
  </si>
  <si>
    <t>Hotel Expense 116</t>
  </si>
  <si>
    <t>Flight Expense 117</t>
  </si>
  <si>
    <t>Hotel Expense 118</t>
  </si>
  <si>
    <t>Meal Expense 119</t>
  </si>
  <si>
    <t>Transport Expense 120</t>
  </si>
  <si>
    <t>Transport Expense 121</t>
  </si>
  <si>
    <t>Flight Expense 122</t>
  </si>
  <si>
    <t>Hotel Expense 123</t>
  </si>
  <si>
    <t>Hotel Expense 124</t>
  </si>
  <si>
    <t>Hotel Expense 125</t>
  </si>
  <si>
    <t>Flight Expense 126</t>
  </si>
  <si>
    <t>Hotel Expense 127</t>
  </si>
  <si>
    <t>Flight Expense 128</t>
  </si>
  <si>
    <t>Hotel Expense 129</t>
  </si>
  <si>
    <t>Hotel Expense 130</t>
  </si>
  <si>
    <t>Flight Expense 131</t>
  </si>
  <si>
    <t>Meal Expense 132</t>
  </si>
  <si>
    <t>Flight Expense 133</t>
  </si>
  <si>
    <t>Transport Expense 134</t>
  </si>
  <si>
    <t>Hotel Expense 135</t>
  </si>
  <si>
    <t>Transport Expense 136</t>
  </si>
  <si>
    <t>Flight Expense 137</t>
  </si>
  <si>
    <t>Transport Expense 138</t>
  </si>
  <si>
    <t>Hotel Expense 139</t>
  </si>
  <si>
    <t>Transport Expense 140</t>
  </si>
  <si>
    <t>Hotel Expense 141</t>
  </si>
  <si>
    <t>Hotel Expense 142</t>
  </si>
  <si>
    <t>Hotel Expense 143</t>
  </si>
  <si>
    <t>Transport Expense 144</t>
  </si>
  <si>
    <t>Hotel Expense 145</t>
  </si>
  <si>
    <t>Flight Expense 146</t>
  </si>
  <si>
    <t>Hotel Expense 147</t>
  </si>
  <si>
    <t>Flight Expense 148</t>
  </si>
  <si>
    <t>Flight Expense 149</t>
  </si>
  <si>
    <t>Flight Expense 150</t>
  </si>
  <si>
    <t>16/03/26</t>
  </si>
  <si>
    <t>HOTEL</t>
  </si>
  <si>
    <t>HOTEL expense 1</t>
  </si>
  <si>
    <t>1015.83 EUR</t>
  </si>
  <si>
    <t>Londun</t>
  </si>
  <si>
    <t>PENDING</t>
  </si>
  <si>
    <t>Feb 05 2026</t>
  </si>
  <si>
    <t>Flight expense 2</t>
  </si>
  <si>
    <t>1464.46 EUR</t>
  </si>
  <si>
    <t>paris</t>
  </si>
  <si>
    <t>16-02-2026</t>
  </si>
  <si>
    <t>Flight expense 3</t>
  </si>
  <si>
    <t>1174.48 USD</t>
  </si>
  <si>
    <t>31 Jan 2026</t>
  </si>
  <si>
    <t>flight</t>
  </si>
  <si>
    <t>flight expense 4</t>
  </si>
  <si>
    <t>$290.01</t>
  </si>
  <si>
    <t>01/03/26</t>
  </si>
  <si>
    <t>Flight expense 5</t>
  </si>
  <si>
    <t>€981.38</t>
  </si>
  <si>
    <t>19/02/26</t>
  </si>
  <si>
    <t>meal</t>
  </si>
  <si>
    <t>meal expense 6</t>
  </si>
  <si>
    <t>849.54 EUR</t>
  </si>
  <si>
    <t>10 Mar 2026</t>
  </si>
  <si>
    <t>Meal expense 7</t>
  </si>
  <si>
    <t>1438.53 GBP</t>
  </si>
  <si>
    <t>10 Feb 2026</t>
  </si>
  <si>
    <t>flight expense 8</t>
  </si>
  <si>
    <t>£706.44</t>
  </si>
  <si>
    <t>paid</t>
  </si>
  <si>
    <t>24 Jan 2026</t>
  </si>
  <si>
    <t>Flight expense 9</t>
  </si>
  <si>
    <t>309.59</t>
  </si>
  <si>
    <t>27/04/26</t>
  </si>
  <si>
    <t>Meal expense 10</t>
  </si>
  <si>
    <t>1307.94 EUR</t>
  </si>
  <si>
    <t>2026/03/05</t>
  </si>
  <si>
    <t>flight expense 11</t>
  </si>
  <si>
    <t>$1116.58</t>
  </si>
  <si>
    <t>New york</t>
  </si>
  <si>
    <t>2026/03/17</t>
  </si>
  <si>
    <t>HOTEL expense 12</t>
  </si>
  <si>
    <t>273.19</t>
  </si>
  <si>
    <t>2026/01/31</t>
  </si>
  <si>
    <t>Flight expense 13</t>
  </si>
  <si>
    <t>1108.01 USD</t>
  </si>
  <si>
    <t>Mar 30 2026</t>
  </si>
  <si>
    <t>HOTEL expense 14</t>
  </si>
  <si>
    <t>1124.66</t>
  </si>
  <si>
    <t>07/04/26</t>
  </si>
  <si>
    <t>meal expense 15</t>
  </si>
  <si>
    <t>221.5</t>
  </si>
  <si>
    <t>04/12/2026</t>
  </si>
  <si>
    <t>Flight expense 16</t>
  </si>
  <si>
    <t>406.42 GBP</t>
  </si>
  <si>
    <t>12/04/26</t>
  </si>
  <si>
    <t>Transport expense 17</t>
  </si>
  <si>
    <t>€464.48</t>
  </si>
  <si>
    <t>01/16/2026</t>
  </si>
  <si>
    <t>Hotel expense 18</t>
  </si>
  <si>
    <t>238.3</t>
  </si>
  <si>
    <t>03/01/2026</t>
  </si>
  <si>
    <t>Transport expense 19</t>
  </si>
  <si>
    <t>1314.7 EUR</t>
  </si>
  <si>
    <t>20 Mar 2026</t>
  </si>
  <si>
    <t>Hotel expense 20</t>
  </si>
  <si>
    <t>1395.42</t>
  </si>
  <si>
    <t>01-04-2026</t>
  </si>
  <si>
    <t>Flight expense 21</t>
  </si>
  <si>
    <t>692.38</t>
  </si>
  <si>
    <t>11 Apr 2026</t>
  </si>
  <si>
    <t>Meal expense 22</t>
  </si>
  <si>
    <t>764.51</t>
  </si>
  <si>
    <t>01/24/2026</t>
  </si>
  <si>
    <t>Flight expense 23</t>
  </si>
  <si>
    <t>$1249.8</t>
  </si>
  <si>
    <t>15/02/2026</t>
  </si>
  <si>
    <t>meal expense 24</t>
  </si>
  <si>
    <t>752.94</t>
  </si>
  <si>
    <t>Mar 08 2026</t>
  </si>
  <si>
    <t>flight expense 25</t>
  </si>
  <si>
    <t>€1284.05</t>
  </si>
  <si>
    <t>04/02/26</t>
  </si>
  <si>
    <t>Hotel expense 26</t>
  </si>
  <si>
    <t>USD 262.13</t>
  </si>
  <si>
    <t>18-04-2026</t>
  </si>
  <si>
    <t>Meal expense 27</t>
  </si>
  <si>
    <t>GBP 777.57</t>
  </si>
  <si>
    <t>2026/04/06</t>
  </si>
  <si>
    <t>Flight expense 28</t>
  </si>
  <si>
    <t>1160.56</t>
  </si>
  <si>
    <t>2026/03/28</t>
  </si>
  <si>
    <t>Transport expense 29</t>
  </si>
  <si>
    <t>USD 1341.55</t>
  </si>
  <si>
    <t>16 Mar 2026</t>
  </si>
  <si>
    <t>Transport expense 30</t>
  </si>
  <si>
    <t>1413.86 EUR</t>
  </si>
  <si>
    <t>04/28/2026</t>
  </si>
  <si>
    <t>Transport expense 31</t>
  </si>
  <si>
    <t>997.04 EUR</t>
  </si>
  <si>
    <t>meal expense 32</t>
  </si>
  <si>
    <t>GBP 775.1</t>
  </si>
  <si>
    <t>03/06/2026</t>
  </si>
  <si>
    <t>Meal expense 33</t>
  </si>
  <si>
    <t>GBP 359.69</t>
  </si>
  <si>
    <t>18/02/2026</t>
  </si>
  <si>
    <t>meal expense 34</t>
  </si>
  <si>
    <t>154.01</t>
  </si>
  <si>
    <t>01/10/2026</t>
  </si>
  <si>
    <t>Flight expense 35</t>
  </si>
  <si>
    <t>1435.82</t>
  </si>
  <si>
    <t>21-04-2026</t>
  </si>
  <si>
    <t>Meal expense 36</t>
  </si>
  <si>
    <t>109.97</t>
  </si>
  <si>
    <t>16 Feb 2026</t>
  </si>
  <si>
    <t>flight expense 37</t>
  </si>
  <si>
    <t>EUR 767.34</t>
  </si>
  <si>
    <t>Jan 05 2026</t>
  </si>
  <si>
    <t>Transport expense 38</t>
  </si>
  <si>
    <t>$295.85</t>
  </si>
  <si>
    <t>18 Mar 2026</t>
  </si>
  <si>
    <t>meal expense 39</t>
  </si>
  <si>
    <t>£1133.44</t>
  </si>
  <si>
    <t>07/01/2026</t>
  </si>
  <si>
    <t>Transport expense 40</t>
  </si>
  <si>
    <t>867.44 GBP</t>
  </si>
  <si>
    <t>2026/02/19</t>
  </si>
  <si>
    <t>Transport expense 41</t>
  </si>
  <si>
    <t>645.06</t>
  </si>
  <si>
    <t>30-04-2026</t>
  </si>
  <si>
    <t>HOTEL expense 42</t>
  </si>
  <si>
    <t>462.98 EUR</t>
  </si>
  <si>
    <t>08/01/26</t>
  </si>
  <si>
    <t>Transport expense 43</t>
  </si>
  <si>
    <t>1337.04</t>
  </si>
  <si>
    <t>22-03-2026</t>
  </si>
  <si>
    <t>meal expense 44</t>
  </si>
  <si>
    <t>€361.64</t>
  </si>
  <si>
    <t>24 Feb 2026</t>
  </si>
  <si>
    <t>HOTEL expense 45</t>
  </si>
  <si>
    <t>366.97 USD</t>
  </si>
  <si>
    <t>22-01-2026</t>
  </si>
  <si>
    <t>flight expense 46</t>
  </si>
  <si>
    <t>€1498.51</t>
  </si>
  <si>
    <t>26-01-2026</t>
  </si>
  <si>
    <t>Flight expense 47</t>
  </si>
  <si>
    <t>£1313.98</t>
  </si>
  <si>
    <t>16/03/2026</t>
  </si>
  <si>
    <t>HOTEL expense 48</t>
  </si>
  <si>
    <t>EUR 855.23</t>
  </si>
  <si>
    <t>2026/04/12</t>
  </si>
  <si>
    <t>Transport expense 49</t>
  </si>
  <si>
    <t>392.38 EUR</t>
  </si>
  <si>
    <t>20/03/26</t>
  </si>
  <si>
    <t>meal expense 50</t>
  </si>
  <si>
    <t>473.83 USD</t>
  </si>
  <si>
    <t>02/01/26</t>
  </si>
  <si>
    <t>HOTEL expense 51</t>
  </si>
  <si>
    <t>343.48</t>
  </si>
  <si>
    <t>15 Jan 2026</t>
  </si>
  <si>
    <t>Hotel expense 52</t>
  </si>
  <si>
    <t>EUR 1434.58</t>
  </si>
  <si>
    <t>01/15/2026</t>
  </si>
  <si>
    <t>Flight expense 53</t>
  </si>
  <si>
    <t>204.37</t>
  </si>
  <si>
    <t>Mar 10 2026</t>
  </si>
  <si>
    <t>flight expense 54</t>
  </si>
  <si>
    <t>277.84 GBP</t>
  </si>
  <si>
    <t>14 Mar 2026</t>
  </si>
  <si>
    <t>Transport expense 55</t>
  </si>
  <si>
    <t>852.29 GBP</t>
  </si>
  <si>
    <t>03/15/2026</t>
  </si>
  <si>
    <t>flight expense 56</t>
  </si>
  <si>
    <t>782.33</t>
  </si>
  <si>
    <t>23-03-2026</t>
  </si>
  <si>
    <t>Flight expense 57</t>
  </si>
  <si>
    <t>79.11</t>
  </si>
  <si>
    <t>15-01-2026</t>
  </si>
  <si>
    <t>Meal expense 58</t>
  </si>
  <si>
    <t>GBP 1430.57</t>
  </si>
  <si>
    <t>01/11/2026</t>
  </si>
  <si>
    <t>Transport expense 59</t>
  </si>
  <si>
    <t>$166.83</t>
  </si>
  <si>
    <t>Apr 14 2026</t>
  </si>
  <si>
    <t>HOTEL expense 60</t>
  </si>
  <si>
    <t>1444.96</t>
  </si>
  <si>
    <t>22-04-2026</t>
  </si>
  <si>
    <t>Meal expense 61</t>
  </si>
  <si>
    <t>1121.22 USD</t>
  </si>
  <si>
    <t>meal expense 62</t>
  </si>
  <si>
    <t>$289.39</t>
  </si>
  <si>
    <t>Feb 20 2026</t>
  </si>
  <si>
    <t>meal expense 63</t>
  </si>
  <si>
    <t>378.83 GBP</t>
  </si>
  <si>
    <t>05/04/26</t>
  </si>
  <si>
    <t>flight expense 64</t>
  </si>
  <si>
    <t>512.25</t>
  </si>
  <si>
    <t>01/30/2026</t>
  </si>
  <si>
    <t>Flight expense 65</t>
  </si>
  <si>
    <t>€1294.89</t>
  </si>
  <si>
    <t>2026/01/28</t>
  </si>
  <si>
    <t>Hotel expense 66</t>
  </si>
  <si>
    <t>USD 724.45</t>
  </si>
  <si>
    <t>30/01/26</t>
  </si>
  <si>
    <t>Hotel expense 67</t>
  </si>
  <si>
    <t>121.67</t>
  </si>
  <si>
    <t>03/22/2026</t>
  </si>
  <si>
    <t>HOTEL expense 68</t>
  </si>
  <si>
    <t>1195.27</t>
  </si>
  <si>
    <t>07-04-2026</t>
  </si>
  <si>
    <t>HOTEL expense 69</t>
  </si>
  <si>
    <t>USD 1009.61</t>
  </si>
  <si>
    <t>28 Apr 2026</t>
  </si>
  <si>
    <t>Meal expense 70</t>
  </si>
  <si>
    <t>€41.65</t>
  </si>
  <si>
    <t>17/04/2026</t>
  </si>
  <si>
    <t>HOTEL expense 71</t>
  </si>
  <si>
    <t>EUR 761.22</t>
  </si>
  <si>
    <t>17/04/26</t>
  </si>
  <si>
    <t>Hotel expense 72</t>
  </si>
  <si>
    <t>1173.54</t>
  </si>
  <si>
    <t>02/01/2026</t>
  </si>
  <si>
    <t>Flight expense 73</t>
  </si>
  <si>
    <t>194.13 EUR</t>
  </si>
  <si>
    <t>2026/02/27</t>
  </si>
  <si>
    <t>meal expense 74</t>
  </si>
  <si>
    <t>EUR 703.46</t>
  </si>
  <si>
    <t>05 Jan 2026</t>
  </si>
  <si>
    <t>Meal expense 75</t>
  </si>
  <si>
    <t>€1487.17</t>
  </si>
  <si>
    <t>19 Apr 2026</t>
  </si>
  <si>
    <t>flight expense 76</t>
  </si>
  <si>
    <t>1210.51 EUR</t>
  </si>
  <si>
    <t>20/02/2026</t>
  </si>
  <si>
    <t>Hotel expense 77</t>
  </si>
  <si>
    <t>£522.22</t>
  </si>
  <si>
    <t>Hotel expense 78</t>
  </si>
  <si>
    <t>132.67 EUR</t>
  </si>
  <si>
    <t>2026/03/24</t>
  </si>
  <si>
    <t>HOTEL expense 79</t>
  </si>
  <si>
    <t>GBP 1024.4</t>
  </si>
  <si>
    <t>Feb 11 2026</t>
  </si>
  <si>
    <t>Meal expense 80</t>
  </si>
  <si>
    <t>EUR 628.22</t>
  </si>
  <si>
    <t>19 Feb 2026</t>
  </si>
  <si>
    <t>Hotel expense 81</t>
  </si>
  <si>
    <t>EUR 571.73</t>
  </si>
  <si>
    <t>04/02/2026</t>
  </si>
  <si>
    <t>Hotel expense 82</t>
  </si>
  <si>
    <t>1408.9</t>
  </si>
  <si>
    <t>04/01/26</t>
  </si>
  <si>
    <t>flight expense 83</t>
  </si>
  <si>
    <t>1295.09 GBP</t>
  </si>
  <si>
    <t>2026/04/14</t>
  </si>
  <si>
    <t>Flight expense 84</t>
  </si>
  <si>
    <t>€1269.72</t>
  </si>
  <si>
    <t>2026/04/19</t>
  </si>
  <si>
    <t>meal expense 85</t>
  </si>
  <si>
    <t>859.9 EUR</t>
  </si>
  <si>
    <t>02/22/2026</t>
  </si>
  <si>
    <t>flight expense 86</t>
  </si>
  <si>
    <t>£710.13</t>
  </si>
  <si>
    <t>23-02-2026</t>
  </si>
  <si>
    <t>HOTEL expense 87</t>
  </si>
  <si>
    <t>GBP 1254.87</t>
  </si>
  <si>
    <t>04/01/2026</t>
  </si>
  <si>
    <t>HOTEL expense 88</t>
  </si>
  <si>
    <t>1117.25</t>
  </si>
  <si>
    <t>Jan 29 2026</t>
  </si>
  <si>
    <t>Hotel expense 89</t>
  </si>
  <si>
    <t>GBP 1427.08</t>
  </si>
  <si>
    <t>30 Jan 2026</t>
  </si>
  <si>
    <t>Meal expense 90</t>
  </si>
  <si>
    <t>1283.79 EUR</t>
  </si>
  <si>
    <t>22/03/2026</t>
  </si>
  <si>
    <t>flight expense 91</t>
  </si>
  <si>
    <t>1064.02 GBP</t>
  </si>
  <si>
    <t>13/03/2026</t>
  </si>
  <si>
    <t>Transport expense 92</t>
  </si>
  <si>
    <t>£1040.98</t>
  </si>
  <si>
    <t>2026/04/09</t>
  </si>
  <si>
    <t>Transport expense 93</t>
  </si>
  <si>
    <t>GBP 732.33</t>
  </si>
  <si>
    <t>29-04-2026</t>
  </si>
  <si>
    <t>meal expense 94</t>
  </si>
  <si>
    <t>$1183.94</t>
  </si>
  <si>
    <t>10/01/2026</t>
  </si>
  <si>
    <t>flight expense 95</t>
  </si>
  <si>
    <t>1039.83 EUR</t>
  </si>
  <si>
    <t>03/02/2026</t>
  </si>
  <si>
    <t>Meal expense 96</t>
  </si>
  <si>
    <t>USD 503.97</t>
  </si>
  <si>
    <t>Jan 10 2026</t>
  </si>
  <si>
    <t>HOTEL expense 97</t>
  </si>
  <si>
    <t>EUR 1094.19</t>
  </si>
  <si>
    <t>2026/03/10</t>
  </si>
  <si>
    <t>Flight expense 98</t>
  </si>
  <si>
    <t>USD 945.66</t>
  </si>
  <si>
    <t>24/04/26</t>
  </si>
  <si>
    <t>Meal expense 99</t>
  </si>
  <si>
    <t>17.44 GBP</t>
  </si>
  <si>
    <t>02/24/2026</t>
  </si>
  <si>
    <t>HOTEL expense 100</t>
  </si>
  <si>
    <t>1084.38 EUR</t>
  </si>
  <si>
    <t>flight expense 101</t>
  </si>
  <si>
    <t>910.87</t>
  </si>
  <si>
    <t>2026/04/15</t>
  </si>
  <si>
    <t>Meal expense 102</t>
  </si>
  <si>
    <t>€190.31</t>
  </si>
  <si>
    <t>03/30/2026</t>
  </si>
  <si>
    <t>flight expense 103</t>
  </si>
  <si>
    <t>$602.36</t>
  </si>
  <si>
    <t>04/10/2026</t>
  </si>
  <si>
    <t>HOTEL expense 104</t>
  </si>
  <si>
    <t>$1387.18</t>
  </si>
  <si>
    <t>01 Apr 2026</t>
  </si>
  <si>
    <t>Meal expense 105</t>
  </si>
  <si>
    <t>£1160.24</t>
  </si>
  <si>
    <t>27/04/2026</t>
  </si>
  <si>
    <t>Flight expense 106</t>
  </si>
  <si>
    <t>144.27 GBP</t>
  </si>
  <si>
    <t>Jan 13 2026</t>
  </si>
  <si>
    <t>Meal expense 107</t>
  </si>
  <si>
    <t>EUR 647.36</t>
  </si>
  <si>
    <t>2026/02/05</t>
  </si>
  <si>
    <t>Meal expense 108</t>
  </si>
  <si>
    <t>1056.43 GBP</t>
  </si>
  <si>
    <t>01/02/2026</t>
  </si>
  <si>
    <t>Flight expense 109</t>
  </si>
  <si>
    <t>1213.81 USD</t>
  </si>
  <si>
    <t>Feb 18 2026</t>
  </si>
  <si>
    <t>flight expense 110</t>
  </si>
  <si>
    <t>262.15</t>
  </si>
  <si>
    <t>22 Jan 2026</t>
  </si>
  <si>
    <t>Hotel expense 111</t>
  </si>
  <si>
    <t>USD 1234.76</t>
  </si>
  <si>
    <t>29/04/2026</t>
  </si>
  <si>
    <t>Transport expense 112</t>
  </si>
  <si>
    <t>GBP 153.79</t>
  </si>
  <si>
    <t>Flight expense 113</t>
  </si>
  <si>
    <t>€1029.03</t>
  </si>
  <si>
    <t>2026/01/18</t>
  </si>
  <si>
    <t>Meal expense 114</t>
  </si>
  <si>
    <t>1374.01</t>
  </si>
  <si>
    <t>06/01/2026</t>
  </si>
  <si>
    <t>Transport expense 115</t>
  </si>
  <si>
    <t>EUR 870.67</t>
  </si>
  <si>
    <t>23/03/26</t>
  </si>
  <si>
    <t>Hotel expense 116</t>
  </si>
  <si>
    <t>GBP 682.04</t>
  </si>
  <si>
    <t>15-03-2026</t>
  </si>
  <si>
    <t>flight expense 117</t>
  </si>
  <si>
    <t>USD 635.71</t>
  </si>
  <si>
    <t>Hotel expense 118</t>
  </si>
  <si>
    <t>USD 1307.63</t>
  </si>
  <si>
    <t>meal expense 119</t>
  </si>
  <si>
    <t>729.07 EUR</t>
  </si>
  <si>
    <t>12 Mar 2026</t>
  </si>
  <si>
    <t>Transport expense 120</t>
  </si>
  <si>
    <t>972.3</t>
  </si>
  <si>
    <t>06/03/2026</t>
  </si>
  <si>
    <t>Transport expense 121</t>
  </si>
  <si>
    <t>1366.89</t>
  </si>
  <si>
    <t>2026/02/13</t>
  </si>
  <si>
    <t>flight expense 122</t>
  </si>
  <si>
    <t>£1061.48</t>
  </si>
  <si>
    <t>08-03-2026</t>
  </si>
  <si>
    <t>Hotel expense 123</t>
  </si>
  <si>
    <t>1265.68 USD</t>
  </si>
  <si>
    <t>21 Apr 2026</t>
  </si>
  <si>
    <t>HOTEL expense 124</t>
  </si>
  <si>
    <t>1482.26</t>
  </si>
  <si>
    <t>HOTEL expense 125</t>
  </si>
  <si>
    <t>£171.7</t>
  </si>
  <si>
    <t>10 Apr 2026</t>
  </si>
  <si>
    <t>flight expense 126</t>
  </si>
  <si>
    <t>888.94 EUR</t>
  </si>
  <si>
    <t>HOTEL expense 127</t>
  </si>
  <si>
    <t>291.24</t>
  </si>
  <si>
    <t>Flight expense 128</t>
  </si>
  <si>
    <t>USD 738.04</t>
  </si>
  <si>
    <t>27-03-2026</t>
  </si>
  <si>
    <t>HOTEL expense 129</t>
  </si>
  <si>
    <t>1362.68 EUR</t>
  </si>
  <si>
    <t>Apr 26 2026</t>
  </si>
  <si>
    <t>HOTEL expense 130</t>
  </si>
  <si>
    <t>251.0</t>
  </si>
  <si>
    <t>13/02/26</t>
  </si>
  <si>
    <t>flight expense 131</t>
  </si>
  <si>
    <t>USD 881.22</t>
  </si>
  <si>
    <t>18/01/2026</t>
  </si>
  <si>
    <t>Meal expense 132</t>
  </si>
  <si>
    <t>€833.89</t>
  </si>
  <si>
    <t>09 Jan 2026</t>
  </si>
  <si>
    <t>flight expense 133</t>
  </si>
  <si>
    <t>693.36</t>
  </si>
  <si>
    <t>Transport expense 134</t>
  </si>
  <si>
    <t>50.0</t>
  </si>
  <si>
    <t>Hotel expense 135</t>
  </si>
  <si>
    <t>329.63 USD</t>
  </si>
  <si>
    <t>15 Feb 2026</t>
  </si>
  <si>
    <t>Transport expense 136</t>
  </si>
  <si>
    <t>€576.11</t>
  </si>
  <si>
    <t>2026/04/20</t>
  </si>
  <si>
    <t>Flight expense 137</t>
  </si>
  <si>
    <t>337.7 USD</t>
  </si>
  <si>
    <t>30 Mar 2026</t>
  </si>
  <si>
    <t>Transport expense 138</t>
  </si>
  <si>
    <t>GBP 959.17</t>
  </si>
  <si>
    <t>03/23/2026</t>
  </si>
  <si>
    <t>Hotel expense 139</t>
  </si>
  <si>
    <t>€1368.16</t>
  </si>
  <si>
    <t>12/02/2026</t>
  </si>
  <si>
    <t>Transport expense 140</t>
  </si>
  <si>
    <t>1066.17 GBP</t>
  </si>
  <si>
    <t>Mar 31 2026</t>
  </si>
  <si>
    <t>Hotel expense 141</t>
  </si>
  <si>
    <t>EUR 1170.46</t>
  </si>
  <si>
    <t>09/01/26</t>
  </si>
  <si>
    <t>HOTEL expense 142</t>
  </si>
  <si>
    <t>1073.48 EUR</t>
  </si>
  <si>
    <t>27/01/2026</t>
  </si>
  <si>
    <t>Hotel expense 143</t>
  </si>
  <si>
    <t>GBP 249.53</t>
  </si>
  <si>
    <t>Transport expense 144</t>
  </si>
  <si>
    <t>724.34</t>
  </si>
  <si>
    <t>24-01-2026</t>
  </si>
  <si>
    <t>HOTEL expense 145</t>
  </si>
  <si>
    <t>$374.51</t>
  </si>
  <si>
    <t>flight expense 146</t>
  </si>
  <si>
    <t>51.94 EUR</t>
  </si>
  <si>
    <t>21/03/26</t>
  </si>
  <si>
    <t>HOTEL expense 147</t>
  </si>
  <si>
    <t>535.73</t>
  </si>
  <si>
    <t>Mar 17 2026</t>
  </si>
  <si>
    <t>Flight expense 148</t>
  </si>
  <si>
    <t>EUR 198.58</t>
  </si>
  <si>
    <t>02/12/2026</t>
  </si>
  <si>
    <t>Flight expense 149</t>
  </si>
  <si>
    <t>GBP 473.08</t>
  </si>
  <si>
    <t>01/20/2026</t>
  </si>
  <si>
    <t>Flight expense 150</t>
  </si>
  <si>
    <t>379.17 USD</t>
  </si>
  <si>
    <t>Amount_Value</t>
  </si>
  <si>
    <t>FLIGHT</t>
  </si>
  <si>
    <t>PAID</t>
  </si>
  <si>
    <t>MEAL</t>
  </si>
  <si>
    <t>TRANSPORT</t>
  </si>
  <si>
    <t>Sum of Amount_Value</t>
  </si>
  <si>
    <t>Count of Description</t>
  </si>
  <si>
    <t>Row Labels</t>
  </si>
  <si>
    <t>Grand Total</t>
  </si>
  <si>
    <t>. Total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</si>
</sst>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R-1C09]* #,##0.00_-;\-[$R-1C09]* #,##0.00_-;_-[$R-1C09]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1"/>
      <color rgb="FF002060"/>
      <name val="Arial"/>
      <family val="2"/>
    </font>
    <font>
      <b/>
      <sz val="11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9.9978637043366805E-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0" fontId="6" fillId="2" borderId="0" xfId="0" applyFont="1" applyFill="1" applyAlignment="1">
      <alignment horizontal="center" vertical="top"/>
    </xf>
    <xf numFmtId="0" fontId="5" fillId="2" borderId="0" xfId="0" applyFont="1" applyFill="1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164" fontId="3" fillId="3" borderId="0" xfId="0" applyNumberFormat="1" applyFont="1" applyFill="1"/>
    <xf numFmtId="9" fontId="3" fillId="3" borderId="0" xfId="1" applyFont="1" applyFill="1"/>
    <xf numFmtId="0" fontId="0" fillId="3" borderId="0" xfId="0" applyFill="1" applyAlignment="1">
      <alignment horizontal="center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2" formatCode="0.00"/>
    </dxf>
  </dxfs>
  <tableStyles count="1" defaultTableStyle="TableStyleMedium9" defaultPivotStyle="PivotStyleLight16">
    <tableStyle name="Invisible" pivot="0" table="0" count="0" xr9:uid="{00000000-0011-0000-FFFF-FFFF00000000}"/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.xlsx]Pivot_Calc!PivotTable6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Travel Spend by Category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Pivot_Calc!$B$14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Pivot_Calc!$A$15:$A$19</c:f>
              <c:strCache>
                <c:ptCount val="4"/>
                <c:pt idx="0">
                  <c:v>TRANSPORT</c:v>
                </c:pt>
                <c:pt idx="1">
                  <c:v>MEAL</c:v>
                </c:pt>
                <c:pt idx="2">
                  <c:v>FLIGHT</c:v>
                </c:pt>
                <c:pt idx="3">
                  <c:v>HOTEL</c:v>
                </c:pt>
              </c:strCache>
            </c:strRef>
          </c:cat>
          <c:val>
            <c:numRef>
              <c:f>Pivot_Calc!$B$15:$B$19</c:f>
              <c:numCache>
                <c:formatCode>0%</c:formatCode>
                <c:ptCount val="4"/>
                <c:pt idx="0">
                  <c:v>0.15408276114685746</c:v>
                </c:pt>
                <c:pt idx="1">
                  <c:v>0.21040859047175844</c:v>
                </c:pt>
                <c:pt idx="2">
                  <c:v>0.31759921651780337</c:v>
                </c:pt>
                <c:pt idx="3">
                  <c:v>0.31790943186358078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D-427D-BF5F-680B0E2BBF6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48753679"/>
        <c:axId val="1324782223"/>
      </c:barChart>
      <c:catAx>
        <c:axId val="748753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782223"/>
        <c:crosses val="autoZero"/>
        <c:auto val="1"/>
        <c:lblAlgn val="ctr"/>
        <c:lblOffset val="100"/>
        <c:noMultiLvlLbl val="0"/>
      </c:catAx>
      <c:valAx>
        <c:axId val="1324782223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74875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.xlsx]Pivot_Calc!PivotTable3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ZA" sz="1800" b="1"/>
              <a:t>Travel Spend by City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50000"/>
              <a:lumOff val="5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50000"/>
              <a:lumOff val="5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numFmt formatCode="[$R-1C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Pivot_Calc!$J$10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5E5-4183-B48A-DA312CD21833}"/>
              </c:ext>
            </c:extLst>
          </c:dPt>
          <c:dLbls>
            <c:dLbl>
              <c:idx val="0"/>
              <c:numFmt formatCode="[$R-1C09]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E5-4183-B48A-DA312CD218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Pivot_Calc!$I$11:$I$16</c:f>
              <c:strCache>
                <c:ptCount val="5"/>
                <c:pt idx="0">
                  <c:v>London</c:v>
                </c:pt>
                <c:pt idx="1">
                  <c:v>Paris</c:v>
                </c:pt>
                <c:pt idx="2">
                  <c:v>New York</c:v>
                </c:pt>
                <c:pt idx="3">
                  <c:v>Berlin</c:v>
                </c:pt>
                <c:pt idx="4">
                  <c:v>Miami</c:v>
                </c:pt>
              </c:strCache>
            </c:strRef>
          </c:cat>
          <c:val>
            <c:numRef>
              <c:f>Pivot_Calc!$J$11:$J$16</c:f>
              <c:numCache>
                <c:formatCode>0.00</c:formatCode>
                <c:ptCount val="5"/>
                <c:pt idx="0">
                  <c:v>30684.5</c:v>
                </c:pt>
                <c:pt idx="1">
                  <c:v>30439.7</c:v>
                </c:pt>
                <c:pt idx="2">
                  <c:v>28118.400000000001</c:v>
                </c:pt>
                <c:pt idx="3">
                  <c:v>11636.42</c:v>
                </c:pt>
                <c:pt idx="4">
                  <c:v>11156.79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5-4183-B48A-DA312CD2183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23340240"/>
        <c:axId val="1423336880"/>
      </c:barChart>
      <c:catAx>
        <c:axId val="1423340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36880"/>
        <c:crosses val="autoZero"/>
        <c:auto val="1"/>
        <c:lblAlgn val="ctr"/>
        <c:lblOffset val="100"/>
        <c:noMultiLvlLbl val="0"/>
      </c:catAx>
      <c:valAx>
        <c:axId val="1423336880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14233402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.xlsx]Pivot_Calc!PivotTable5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Payment Status (Paid vs Pending)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[$R-1C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Pivot_Calc!$G$23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A0F-442C-AD2D-8E5A83C7962E}"/>
              </c:ext>
            </c:extLst>
          </c:dPt>
          <c:dLbls>
            <c:numFmt formatCode="[$R-1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Pivot_Calc!$F$24:$F$26</c:f>
              <c:strCache>
                <c:ptCount val="2"/>
                <c:pt idx="0">
                  <c:v>PAID</c:v>
                </c:pt>
                <c:pt idx="1">
                  <c:v>PENDING</c:v>
                </c:pt>
              </c:strCache>
            </c:strRef>
          </c:cat>
          <c:val>
            <c:numRef>
              <c:f>Pivot_Calc!$G$24:$G$26</c:f>
              <c:numCache>
                <c:formatCode>General</c:formatCode>
                <c:ptCount val="2"/>
                <c:pt idx="0">
                  <c:v>53105.41</c:v>
                </c:pt>
                <c:pt idx="1">
                  <c:v>67617.179999999993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F-442C-AD2D-8E5A83C79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58007808"/>
        <c:axId val="1658010208"/>
      </c:barChart>
      <c:catAx>
        <c:axId val="165800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010208"/>
        <c:crosses val="autoZero"/>
        <c:auto val="1"/>
        <c:lblAlgn val="ctr"/>
        <c:lblOffset val="100"/>
        <c:noMultiLvlLbl val="0"/>
      </c:catAx>
      <c:valAx>
        <c:axId val="165801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00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581025</xdr:rowOff>
    </xdr:from>
    <xdr:ext cx="4305300" cy="45719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3321AA7-2989-3811-5842-1245678EEABF}"/>
            </a:ext>
          </a:extLst>
        </xdr:cNvPr>
        <xdr:cNvSpPr txBox="1"/>
      </xdr:nvSpPr>
      <xdr:spPr>
        <a:xfrm>
          <a:off x="0" y="581025"/>
          <a:ext cx="4305300" cy="4571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ZA" sz="1800" b="1"/>
            <a:t>January 2026 | Finance Overview</a:t>
          </a:r>
          <a:endParaRPr lang="en-ZA" sz="1800"/>
        </a:p>
      </xdr:txBody>
    </xdr:sp>
    <xdr:clientData/>
  </xdr:oneCellAnchor>
  <xdr:oneCellAnchor>
    <xdr:from>
      <xdr:col>0</xdr:col>
      <xdr:colOff>9524</xdr:colOff>
      <xdr:row>0</xdr:row>
      <xdr:rowOff>95250</xdr:rowOff>
    </xdr:from>
    <xdr:ext cx="4604534" cy="40957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16D4753-E8E6-F680-5742-E168495D9B90}"/>
            </a:ext>
          </a:extLst>
        </xdr:cNvPr>
        <xdr:cNvSpPr txBox="1"/>
      </xdr:nvSpPr>
      <xdr:spPr>
        <a:xfrm>
          <a:off x="9524" y="95250"/>
          <a:ext cx="4604534" cy="409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ZA" sz="2000" b="1">
              <a:solidFill>
                <a:schemeClr val="tx2"/>
              </a:solidFill>
            </a:rPr>
            <a:t>Executive Travel Spend Dashboard</a:t>
          </a:r>
        </a:p>
      </xdr:txBody>
    </xdr:sp>
    <xdr:clientData/>
  </xdr:oneCellAnchor>
  <xdr:twoCellAnchor>
    <xdr:from>
      <xdr:col>4</xdr:col>
      <xdr:colOff>73354</xdr:colOff>
      <xdr:row>0</xdr:row>
      <xdr:rowOff>127660</xdr:rowOff>
    </xdr:from>
    <xdr:to>
      <xdr:col>7</xdr:col>
      <xdr:colOff>406730</xdr:colOff>
      <xdr:row>0</xdr:row>
      <xdr:rowOff>1404010</xdr:rowOff>
    </xdr:to>
    <xdr:sp macro="" textlink="">
      <xdr:nvSpPr>
        <xdr:cNvPr id="8" name="Rectangle: Top Corners Rounded 7">
          <a:extLst>
            <a:ext uri="{FF2B5EF4-FFF2-40B4-BE49-F238E27FC236}">
              <a16:creationId xmlns:a16="http://schemas.microsoft.com/office/drawing/2014/main" id="{C7EF7F5C-EEA3-0A3B-D2A4-B225A525C5A6}"/>
            </a:ext>
          </a:extLst>
        </xdr:cNvPr>
        <xdr:cNvSpPr/>
      </xdr:nvSpPr>
      <xdr:spPr>
        <a:xfrm>
          <a:off x="4600822" y="127660"/>
          <a:ext cx="2151785" cy="127635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800" b="1">
              <a:solidFill>
                <a:schemeClr val="tx2"/>
              </a:solidFill>
            </a:rPr>
            <a:t>Total Spend </a:t>
          </a:r>
        </a:p>
        <a:p>
          <a:pPr algn="ctr"/>
          <a:endParaRPr lang="en-ZA" sz="1800" b="1">
            <a:solidFill>
              <a:schemeClr val="tx2"/>
            </a:solidFill>
          </a:endParaRPr>
        </a:p>
      </xdr:txBody>
    </xdr:sp>
    <xdr:clientData/>
  </xdr:twoCellAnchor>
  <xdr:twoCellAnchor>
    <xdr:from>
      <xdr:col>8</xdr:col>
      <xdr:colOff>20040</xdr:colOff>
      <xdr:row>0</xdr:row>
      <xdr:rowOff>127660</xdr:rowOff>
    </xdr:from>
    <xdr:to>
      <xdr:col>11</xdr:col>
      <xdr:colOff>353416</xdr:colOff>
      <xdr:row>0</xdr:row>
      <xdr:rowOff>1404010</xdr:rowOff>
    </xdr:to>
    <xdr:sp macro="" textlink="">
      <xdr:nvSpPr>
        <xdr:cNvPr id="10" name="Rectangle: Top Corners Rounded 9">
          <a:extLst>
            <a:ext uri="{FF2B5EF4-FFF2-40B4-BE49-F238E27FC236}">
              <a16:creationId xmlns:a16="http://schemas.microsoft.com/office/drawing/2014/main" id="{F596BCE4-211C-4256-A7A0-8A986E6F4B8E}"/>
            </a:ext>
          </a:extLst>
        </xdr:cNvPr>
        <xdr:cNvSpPr/>
      </xdr:nvSpPr>
      <xdr:spPr>
        <a:xfrm>
          <a:off x="6972053" y="127660"/>
          <a:ext cx="2151785" cy="127635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800" b="1">
              <a:solidFill>
                <a:schemeClr val="tx2"/>
              </a:solidFill>
            </a:rPr>
            <a:t>Average Spend </a:t>
          </a:r>
        </a:p>
      </xdr:txBody>
    </xdr:sp>
    <xdr:clientData/>
  </xdr:twoCellAnchor>
  <xdr:twoCellAnchor>
    <xdr:from>
      <xdr:col>11</xdr:col>
      <xdr:colOff>571500</xdr:colOff>
      <xdr:row>0</xdr:row>
      <xdr:rowOff>152400</xdr:rowOff>
    </xdr:from>
    <xdr:to>
      <xdr:col>15</xdr:col>
      <xdr:colOff>295276</xdr:colOff>
      <xdr:row>0</xdr:row>
      <xdr:rowOff>1428750</xdr:rowOff>
    </xdr:to>
    <xdr:sp macro="" textlink="">
      <xdr:nvSpPr>
        <xdr:cNvPr id="11" name="Rectangle: Top Corners Rounded 10">
          <a:extLst>
            <a:ext uri="{FF2B5EF4-FFF2-40B4-BE49-F238E27FC236}">
              <a16:creationId xmlns:a16="http://schemas.microsoft.com/office/drawing/2014/main" id="{A108B37E-0C1D-4567-93A3-9416C7A6A1B0}"/>
            </a:ext>
          </a:extLst>
        </xdr:cNvPr>
        <xdr:cNvSpPr/>
      </xdr:nvSpPr>
      <xdr:spPr>
        <a:xfrm>
          <a:off x="9363075" y="152400"/>
          <a:ext cx="2162176" cy="127635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800" b="1">
              <a:solidFill>
                <a:schemeClr val="tx2"/>
              </a:solidFill>
            </a:rPr>
            <a:t>Top Category</a:t>
          </a:r>
        </a:p>
        <a:p>
          <a:pPr algn="ctr"/>
          <a:endParaRPr lang="en-ZA" sz="1800" b="1">
            <a:solidFill>
              <a:schemeClr val="tx2"/>
            </a:solidFill>
          </a:endParaRPr>
        </a:p>
        <a:p>
          <a:pPr algn="ctr"/>
          <a:r>
            <a:rPr lang="en-ZA" sz="1800" b="1">
              <a:solidFill>
                <a:schemeClr val="tx2"/>
              </a:solidFill>
            </a:rPr>
            <a:t> </a:t>
          </a:r>
        </a:p>
      </xdr:txBody>
    </xdr:sp>
    <xdr:clientData/>
  </xdr:twoCellAnchor>
  <xdr:twoCellAnchor>
    <xdr:from>
      <xdr:col>15</xdr:col>
      <xdr:colOff>521896</xdr:colOff>
      <xdr:row>0</xdr:row>
      <xdr:rowOff>127660</xdr:rowOff>
    </xdr:from>
    <xdr:to>
      <xdr:col>19</xdr:col>
      <xdr:colOff>245672</xdr:colOff>
      <xdr:row>0</xdr:row>
      <xdr:rowOff>1404010</xdr:rowOff>
    </xdr:to>
    <xdr:sp macro="" textlink="">
      <xdr:nvSpPr>
        <xdr:cNvPr id="13" name="Rectangle: Top Corners Rounded 12">
          <a:extLst>
            <a:ext uri="{FF2B5EF4-FFF2-40B4-BE49-F238E27FC236}">
              <a16:creationId xmlns:a16="http://schemas.microsoft.com/office/drawing/2014/main" id="{232D670D-6C3E-4CCD-8660-267B4070B631}"/>
            </a:ext>
          </a:extLst>
        </xdr:cNvPr>
        <xdr:cNvSpPr/>
      </xdr:nvSpPr>
      <xdr:spPr>
        <a:xfrm>
          <a:off x="11716864" y="127660"/>
          <a:ext cx="2148321" cy="127635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ZA" sz="1800" b="1">
              <a:solidFill>
                <a:schemeClr val="tx2"/>
              </a:solidFill>
            </a:rPr>
            <a:t>Pending Spend</a:t>
          </a:r>
        </a:p>
      </xdr:txBody>
    </xdr:sp>
    <xdr:clientData/>
  </xdr:twoCellAnchor>
  <xdr:oneCellAnchor>
    <xdr:from>
      <xdr:col>4</xdr:col>
      <xdr:colOff>482435</xdr:colOff>
      <xdr:row>0</xdr:row>
      <xdr:rowOff>618507</xdr:rowOff>
    </xdr:from>
    <xdr:ext cx="1175162" cy="321624"/>
    <xdr:sp macro="" textlink="Pivot_Calc!A4">
      <xdr:nvSpPr>
        <xdr:cNvPr id="15" name="TextBox 14">
          <a:extLst>
            <a:ext uri="{FF2B5EF4-FFF2-40B4-BE49-F238E27FC236}">
              <a16:creationId xmlns:a16="http://schemas.microsoft.com/office/drawing/2014/main" id="{7FD8EE10-BE44-0F5E-5473-4FC57B414B1A}"/>
            </a:ext>
          </a:extLst>
        </xdr:cNvPr>
        <xdr:cNvSpPr txBox="1"/>
      </xdr:nvSpPr>
      <xdr:spPr>
        <a:xfrm>
          <a:off x="5009903" y="618507"/>
          <a:ext cx="1175162" cy="321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fld id="{9E725BAF-794F-48CF-8406-120083B369FB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 R120,722.59 </a:t>
          </a:fld>
          <a:endParaRPr lang="en-ZA" sz="1400" b="1"/>
        </a:p>
      </xdr:txBody>
    </xdr:sp>
    <xdr:clientData/>
  </xdr:oneCellAnchor>
  <xdr:oneCellAnchor>
    <xdr:from>
      <xdr:col>8</xdr:col>
      <xdr:colOff>494805</xdr:colOff>
      <xdr:row>0</xdr:row>
      <xdr:rowOff>890649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98684C5-D331-7855-7F53-0BCE80089E01}"/>
            </a:ext>
          </a:extLst>
        </xdr:cNvPr>
        <xdr:cNvSpPr txBox="1"/>
      </xdr:nvSpPr>
      <xdr:spPr>
        <a:xfrm>
          <a:off x="7446818" y="89064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ZA" sz="1100"/>
        </a:p>
      </xdr:txBody>
    </xdr:sp>
    <xdr:clientData/>
  </xdr:oneCellAnchor>
  <xdr:oneCellAnchor>
    <xdr:from>
      <xdr:col>16</xdr:col>
      <xdr:colOff>284512</xdr:colOff>
      <xdr:row>0</xdr:row>
      <xdr:rowOff>544285</xdr:rowOff>
    </xdr:from>
    <xdr:ext cx="1237013" cy="408214"/>
    <xdr:sp macro="" textlink="Pivot_Calc!A24">
      <xdr:nvSpPr>
        <xdr:cNvPr id="17" name="TextBox 16">
          <a:extLst>
            <a:ext uri="{FF2B5EF4-FFF2-40B4-BE49-F238E27FC236}">
              <a16:creationId xmlns:a16="http://schemas.microsoft.com/office/drawing/2014/main" id="{A3A2AA67-3B86-81B5-F928-5EDB1F9E359A}"/>
            </a:ext>
          </a:extLst>
        </xdr:cNvPr>
        <xdr:cNvSpPr txBox="1"/>
      </xdr:nvSpPr>
      <xdr:spPr>
        <a:xfrm>
          <a:off x="12085616" y="544285"/>
          <a:ext cx="1237013" cy="408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F23703A8-41F4-4847-A532-184874D4D7C5}" type="TxLink">
            <a:rPr lang="en-US" sz="1400" b="1" i="0" u="none" strike="noStrike">
              <a:solidFill>
                <a:schemeClr val="tx2"/>
              </a:solidFill>
              <a:latin typeface="Aptos Narrow"/>
            </a:rPr>
            <a:pPr algn="ctr"/>
            <a:t> R67,617.18 </a:t>
          </a:fld>
          <a:endParaRPr lang="en-ZA" sz="1400" b="1">
            <a:solidFill>
              <a:schemeClr val="tx2"/>
            </a:solidFill>
          </a:endParaRPr>
        </a:p>
      </xdr:txBody>
    </xdr:sp>
    <xdr:clientData/>
  </xdr:oneCellAnchor>
  <xdr:oneCellAnchor>
    <xdr:from>
      <xdr:col>9</xdr:col>
      <xdr:colOff>37109</xdr:colOff>
      <xdr:row>0</xdr:row>
      <xdr:rowOff>618506</xdr:rowOff>
    </xdr:from>
    <xdr:ext cx="828799" cy="323867"/>
    <xdr:sp macro="" textlink="Pivot_Calc!A12">
      <xdr:nvSpPr>
        <xdr:cNvPr id="18" name="TextBox 17">
          <a:extLst>
            <a:ext uri="{FF2B5EF4-FFF2-40B4-BE49-F238E27FC236}">
              <a16:creationId xmlns:a16="http://schemas.microsoft.com/office/drawing/2014/main" id="{515F6CD1-3936-1360-D26A-8432DC1EB68B}"/>
            </a:ext>
          </a:extLst>
        </xdr:cNvPr>
        <xdr:cNvSpPr txBox="1"/>
      </xdr:nvSpPr>
      <xdr:spPr>
        <a:xfrm>
          <a:off x="7595258" y="618506"/>
          <a:ext cx="828799" cy="3238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AF4EA800-EAAE-4FDD-AFCF-53FA88E1106E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/>
            <a:t> R804.82 </a:t>
          </a:fld>
          <a:endParaRPr lang="en-ZA" sz="1400" b="1"/>
        </a:p>
      </xdr:txBody>
    </xdr:sp>
    <xdr:clientData/>
  </xdr:oneCellAnchor>
  <xdr:oneCellAnchor>
    <xdr:from>
      <xdr:col>12</xdr:col>
      <xdr:colOff>556656</xdr:colOff>
      <xdr:row>0</xdr:row>
      <xdr:rowOff>667987</xdr:rowOff>
    </xdr:from>
    <xdr:ext cx="1133580" cy="311496"/>
    <xdr:sp macro="" textlink="Pivot_Calc!F13">
      <xdr:nvSpPr>
        <xdr:cNvPr id="19" name="TextBox 18">
          <a:extLst>
            <a:ext uri="{FF2B5EF4-FFF2-40B4-BE49-F238E27FC236}">
              <a16:creationId xmlns:a16="http://schemas.microsoft.com/office/drawing/2014/main" id="{09FD0294-B1A6-7D86-02BA-8EA9147FCC9D}"/>
            </a:ext>
          </a:extLst>
        </xdr:cNvPr>
        <xdr:cNvSpPr txBox="1"/>
      </xdr:nvSpPr>
      <xdr:spPr>
        <a:xfrm>
          <a:off x="9933214" y="667987"/>
          <a:ext cx="113358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27B0AAB-768A-46E9-90BA-3A13BC91AEF9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/>
            <a:t>HOTEL (32%)</a:t>
          </a:fld>
          <a:endParaRPr lang="en-ZA" sz="1400" b="1"/>
        </a:p>
      </xdr:txBody>
    </xdr:sp>
    <xdr:clientData/>
  </xdr:oneCellAnchor>
  <xdr:twoCellAnchor>
    <xdr:from>
      <xdr:col>0</xdr:col>
      <xdr:colOff>150002</xdr:colOff>
      <xdr:row>3</xdr:row>
      <xdr:rowOff>139310</xdr:rowOff>
    </xdr:from>
    <xdr:to>
      <xdr:col>8</xdr:col>
      <xdr:colOff>70627</xdr:colOff>
      <xdr:row>20</xdr:row>
      <xdr:rowOff>6156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323094D9-1D3D-9EC6-EA7E-9D5BBEAC7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225814</xdr:colOff>
      <xdr:row>3</xdr:row>
      <xdr:rowOff>89935</xdr:rowOff>
    </xdr:from>
    <xdr:to>
      <xdr:col>19</xdr:col>
      <xdr:colOff>543314</xdr:colOff>
      <xdr:row>20</xdr:row>
      <xdr:rowOff>29806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69EE1760-C92F-CDA7-D9F0-DFF4AA200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378199</xdr:colOff>
      <xdr:row>22</xdr:row>
      <xdr:rowOff>28015</xdr:rowOff>
    </xdr:from>
    <xdr:to>
      <xdr:col>19</xdr:col>
      <xdr:colOff>140073</xdr:colOff>
      <xdr:row>38</xdr:row>
      <xdr:rowOff>84044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CE104AFE-EF24-C206-FD17-BD81835EB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4.459331597223" backgroundQuery="1" createdVersion="8" refreshedVersion="8" minRefreshableVersion="3" recordCount="0" supportSubquery="1" supportAdvancedDrill="1" xr:uid="{82144176-1ABE-44B7-AE0E-ABDEE656E998}">
  <cacheSource type="external" connectionId="2"/>
  <cacheFields count="1"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0" memberValueDatatype="130" unbalanced="0"/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4.475123611111" backgroundQuery="1" createdVersion="8" refreshedVersion="8" minRefreshableVersion="3" recordCount="0" supportSubquery="1" supportAdvancedDrill="1" xr:uid="{908E758F-EB45-4FAB-8A45-A673B23D1430}">
  <cacheSource type="external" connectionId="2"/>
  <cacheFields count="1">
    <cacheField name="[Measures].[Count of Description]" caption="Count of Description" numFmtId="0" hierarchy="10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0" memberValueDatatype="130" unbalanced="0"/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4.524717708337" backgroundQuery="1" createdVersion="8" refreshedVersion="8" minRefreshableVersion="3" recordCount="0" supportSubquery="1" supportAdvancedDrill="1" xr:uid="{DD7CB724-8D09-4F08-8F07-404E79B66342}">
  <cacheSource type="external" connectionId="2"/>
  <cacheFields count="2">
    <cacheField name="[Clean_Data].[Status].[Status]" caption="Status" numFmtId="0" hierarchy="6" level="1">
      <sharedItems containsSemiMixedTypes="0" containsNonDate="0" containsString="0"/>
    </cacheField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2" memberValueDatatype="130" unbalanced="0">
      <fieldsUsage count="2">
        <fieldUsage x="-1"/>
        <fieldUsage x="0"/>
      </fieldsUsage>
    </cacheHierarchy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9.436733333336" backgroundQuery="1" createdVersion="8" refreshedVersion="8" minRefreshableVersion="3" recordCount="0" supportSubquery="1" supportAdvancedDrill="1" xr:uid="{B70828FF-53CF-4CB1-906A-742D1779F8EB}">
  <cacheSource type="external" connectionId="2"/>
  <cacheFields count="2">
    <cacheField name="[Clean_Data].[Category].[Category]" caption="Category" numFmtId="0" hierarchy="1" level="1">
      <sharedItems count="4">
        <s v="FLIGHT"/>
        <s v="HOTEL"/>
        <s v="MEAL"/>
        <s v="TRANSPORT"/>
      </sharedItems>
    </cacheField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2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2" memberValueDatatype="130" unbalanced="0">
      <fieldsUsage count="2">
        <fieldUsage x="-1"/>
        <fieldUsage x="0"/>
      </fieldsUsage>
    </cacheHierarchy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0" memberValueDatatype="130" unbalanced="0"/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9.467344444442" backgroundQuery="1" createdVersion="8" refreshedVersion="8" minRefreshableVersion="3" recordCount="0" supportSubquery="1" supportAdvancedDrill="1" xr:uid="{147C6A8A-5CCF-40C4-B4FA-0AB6A82ECCBB}">
  <cacheSource type="external" connectionId="2"/>
  <cacheFields count="2">
    <cacheField name="[Clean_Data].[City].[City]" caption="City" numFmtId="0" hierarchy="5" level="1">
      <sharedItems count="5">
        <s v="Berlin"/>
        <s v="London"/>
        <s v="Miami"/>
        <s v="New York"/>
        <s v="Paris"/>
      </sharedItems>
    </cacheField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2" memberValueDatatype="130" unbalanced="0">
      <fieldsUsage count="2">
        <fieldUsage x="-1"/>
        <fieldUsage x="0"/>
      </fieldsUsage>
    </cacheHierarchy>
    <cacheHierarchy uniqueName="[Clean_Data].[Status]" caption="Status" attribute="1" defaultMemberUniqueName="[Clean_Data].[Status].[All]" allUniqueName="[Clean_Data].[Status].[All]" dimensionUniqueName="[Clean_Data]" displayFolder="" count="0" memberValueDatatype="130" unbalanced="0"/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9.482612268519" backgroundQuery="1" createdVersion="8" refreshedVersion="8" minRefreshableVersion="3" recordCount="0" supportSubquery="1" supportAdvancedDrill="1" xr:uid="{81D97B4E-D91F-43DF-B631-CF3281370749}">
  <cacheSource type="external" connectionId="2"/>
  <cacheFields count="2">
    <cacheField name="[Clean_Data].[Status].[Status]" caption="Status" numFmtId="0" hierarchy="6" level="1">
      <sharedItems count="2">
        <s v="PAID"/>
        <s v="PENDING"/>
      </sharedItems>
    </cacheField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2" memberValueDatatype="130" unbalanced="0">
      <fieldsUsage count="2">
        <fieldUsage x="-1"/>
        <fieldUsage x="0"/>
      </fieldsUsage>
    </cacheHierarchy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F2A81-C3B8-4659-9643-408C119BEEDE}" name="PivotTable6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9">
  <location ref="A14:B19" firstHeaderRow="1" firstDataRow="1" firstDataCol="1"/>
  <pivotFields count="2"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Amount_Value" fld="1" showDataAs="percentOfTotal" baseField="0" baseItem="0" numFmtId="10"/>
  </dataFields>
  <formats count="4">
    <format dxfId="9">
      <pivotArea collapsedLevelsAreSubtotals="1" fieldPosition="0">
        <references count="1">
          <reference field="0" count="1">
            <x v="1"/>
          </reference>
        </references>
      </pivotArea>
    </format>
    <format dxfId="8">
      <pivotArea collapsedLevelsAreSubtotals="1" fieldPosition="0">
        <references count="1">
          <reference field="0" count="1">
            <x v="0"/>
          </reference>
        </references>
      </pivotArea>
    </format>
    <format dxfId="7">
      <pivotArea collapsedLevelsAreSubtotals="1" fieldPosition="0">
        <references count="1">
          <reference field="0" count="1">
            <x v="2"/>
          </reference>
        </references>
      </pivotArea>
    </format>
    <format dxfId="6">
      <pivotArea collapsedLevelsAreSubtotals="1" fieldPosition="0">
        <references count="1">
          <reference field="0" count="1">
            <x v="3"/>
          </reference>
        </references>
      </pivotArea>
    </format>
  </formats>
  <chartFormats count="1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6244E-0F7A-4AF8-836A-83B908E9626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Description" fld="0" subtotal="count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3EB74-FD75-425E-8356-A36EECFE9BB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Amount_Value" fld="0" baseField="0" baseItem="0" numFmtId="164"/>
  </dataFields>
  <formats count="1">
    <format dxfId="10">
      <pivotArea outline="0" collapsedLevelsAreSubtotals="1" fieldPosition="0"/>
    </format>
  </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EA529-8FC5-445D-8729-32E685839ACB}" name="PivotTable8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3:A24" firstHeaderRow="1" firstDataRow="1" firstDataCol="0" rowPageCount="1" colPageCount="1"/>
  <pivotFields count="2">
    <pivotField axis="axisPage" allDrilled="1" subtotalTop="0" showAll="0" dataSourceSort="1" defaultSubtotal="0" defaultAttributeDrillState="1"/>
    <pivotField dataField="1" subtotalTop="0" showAll="0" defaultSubtotal="0"/>
  </pivotFields>
  <rowItems count="1">
    <i/>
  </rowItems>
  <colItems count="1">
    <i/>
  </colItems>
  <pageFields count="1">
    <pageField fld="0" hier="6" name="[Clean_Data].[Status].&amp;[PENDING]" cap="PENDING"/>
  </pageFields>
  <dataFields count="1">
    <dataField name="Sum of Amount_Value" fld="1" baseField="0" baseItem="0" numFmtId="164"/>
  </dataFields>
  <formats count="1">
    <format dxfId="11">
      <pivotArea outline="0" collapsedLevelsAreSubtotals="1" fieldPosition="0"/>
    </format>
  </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lean_Data].[Status].&amp;[PENDING]"/>
      </members>
    </pivotHierarchy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BFCC2-90AC-41FA-9246-5B8D507BE86B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23:G2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_Value" fld="1" baseField="0" baseItem="0"/>
  </dataFields>
  <chartFormats count="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FF3A2-4E90-4529-A038-CFD1BD3B3976}" name="PivotTable3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I10:J16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1"/>
    </i>
    <i>
      <x v="4"/>
    </i>
    <i>
      <x v="3"/>
    </i>
    <i>
      <x/>
    </i>
    <i>
      <x v="2"/>
    </i>
    <i t="grand">
      <x/>
    </i>
  </rowItems>
  <colItems count="1">
    <i/>
  </colItems>
  <dataFields count="1">
    <dataField name="Sum of Amount_Value" fld="1" baseField="0" baseItem="0"/>
  </dataFields>
  <formats count="1">
    <format dxfId="12">
      <pivotArea collapsedLevelsAreSubtotals="1" fieldPosition="0">
        <references count="1">
          <reference field="0" count="0"/>
        </references>
      </pivotArea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9">
      <autoFilter ref="A1">
        <filterColumn colId="0">
          <top10 val="5" filterVal="5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8B4262-293E-459B-872C-31ACA69D6589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Category" tableColumnId="2"/>
      <queryTableField id="3" name="Description" tableColumnId="3"/>
      <queryTableField id="4" name="Amount_Value" tableColumnId="4"/>
      <queryTableField id="5" name="Currency" tableColumnId="5"/>
      <queryTableField id="6" name="City" tableColumnId="6"/>
      <queryTableField id="7" name="Statu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30BB75-AB7A-4E6C-AE97-4804D3DF38EA}" name="Clean_Data" displayName="Clean_Data" ref="A1:G151" tableType="queryTable" totalsRowShown="0">
  <autoFilter ref="A1:G151" xr:uid="{3730BB75-AB7A-4E6C-AE97-4804D3DF38EA}"/>
  <tableColumns count="7">
    <tableColumn id="1" xr3:uid="{38E19D1A-AA2E-44C2-ADEF-575E57A6E3F2}" uniqueName="1" name="Date" queryTableFieldId="1" dataDxfId="5"/>
    <tableColumn id="2" xr3:uid="{AA7AB221-0B68-4A9D-BA58-4AFBD1AB6864}" uniqueName="2" name="Category" queryTableFieldId="2" dataDxfId="4"/>
    <tableColumn id="3" xr3:uid="{07E30CC7-1BE7-4072-A934-E9151279C731}" uniqueName="3" name="Description" queryTableFieldId="3" dataDxfId="3"/>
    <tableColumn id="4" xr3:uid="{01D7D696-E384-4024-943C-3F9A42C9F812}" uniqueName="4" name="Amount_Value" queryTableFieldId="4"/>
    <tableColumn id="5" xr3:uid="{32E3F662-54EA-4DFF-BE84-29CF4C81FE7E}" uniqueName="5" name="Currency" queryTableFieldId="5" dataDxfId="2"/>
    <tableColumn id="6" xr3:uid="{B4ECB7D1-DA70-4450-A11D-E3C1AA5D9F02}" uniqueName="6" name="City" queryTableFieldId="6" dataDxfId="1"/>
    <tableColumn id="7" xr3:uid="{9FEE30E1-4E9D-4321-BF15-FEDF80E6918D}" uniqueName="7" name="Status" queryTableFieldId="7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F57056-55E5-4B21-BDD5-BB2CFF9F9C28}" name="Table4" displayName="Table4" ref="A1:G151" totalsRowShown="0">
  <autoFilter ref="A1:G151" xr:uid="{3CF57056-55E5-4B21-BDD5-BB2CFF9F9C28}"/>
  <tableColumns count="7">
    <tableColumn id="1" xr3:uid="{1EAF146E-D69C-49CB-8C43-8F21EF6D0FDD}" name="Date"/>
    <tableColumn id="2" xr3:uid="{F4889C0A-C7D6-4EAD-BBE3-2BF2D1BE0DF8}" name="Category"/>
    <tableColumn id="3" xr3:uid="{BF928560-08E3-4166-B435-E78A1D56A563}" name="Description"/>
    <tableColumn id="4" xr3:uid="{D47EF60E-F66A-49F9-B10B-7F95DA3D88CA}" name="Amount"/>
    <tableColumn id="5" xr3:uid="{1AB7D3F2-46EF-4E4C-8E36-471CA1F9525B}" name="Currency"/>
    <tableColumn id="6" xr3:uid="{6117F709-8E0D-4388-8BB3-A1432AE07B18}" name="City"/>
    <tableColumn id="7" xr3:uid="{CB905AA2-6F15-4C52-97BF-AD6F639366DF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E260-B495-49E2-8B48-21DDF309EEBC}">
  <dimension ref="A3:J26"/>
  <sheetViews>
    <sheetView workbookViewId="0">
      <selection activeCell="K38" sqref="K38"/>
    </sheetView>
  </sheetViews>
  <sheetFormatPr defaultRowHeight="15" x14ac:dyDescent="0.25"/>
  <cols>
    <col min="1" max="1" width="13.42578125" bestFit="1" customWidth="1"/>
    <col min="2" max="2" width="20.85546875" bestFit="1" customWidth="1"/>
    <col min="3" max="5" width="10.42578125" bestFit="1" customWidth="1"/>
    <col min="6" max="6" width="13.42578125" bestFit="1" customWidth="1"/>
    <col min="7" max="7" width="20.85546875" bestFit="1" customWidth="1"/>
    <col min="8" max="8" width="10.42578125" bestFit="1" customWidth="1"/>
    <col min="9" max="9" width="13.42578125" bestFit="1" customWidth="1"/>
    <col min="10" max="10" width="20.85546875" bestFit="1" customWidth="1"/>
    <col min="11" max="90" width="10.42578125" bestFit="1" customWidth="1"/>
    <col min="91" max="91" width="11.28515625" bestFit="1" customWidth="1"/>
  </cols>
  <sheetData>
    <row r="3" spans="1:10" x14ac:dyDescent="0.25">
      <c r="A3" t="s">
        <v>621</v>
      </c>
    </row>
    <row r="4" spans="1:10" x14ac:dyDescent="0.25">
      <c r="A4" s="2">
        <v>120722.59</v>
      </c>
    </row>
    <row r="8" spans="1:10" x14ac:dyDescent="0.25">
      <c r="A8" t="s">
        <v>622</v>
      </c>
    </row>
    <row r="9" spans="1:10" x14ac:dyDescent="0.25">
      <c r="A9">
        <v>150</v>
      </c>
    </row>
    <row r="10" spans="1:10" x14ac:dyDescent="0.25">
      <c r="I10" s="4" t="s">
        <v>623</v>
      </c>
      <c r="J10" t="s">
        <v>621</v>
      </c>
    </row>
    <row r="11" spans="1:10" x14ac:dyDescent="0.25">
      <c r="A11" t="s">
        <v>625</v>
      </c>
      <c r="I11" s="5" t="s">
        <v>10</v>
      </c>
      <c r="J11" s="18">
        <v>30684.5</v>
      </c>
    </row>
    <row r="12" spans="1:10" x14ac:dyDescent="0.25">
      <c r="A12" s="2">
        <f>GETPIVOTDATA("[Measures].[Sum of Amount_Value]",$A$3)/GETPIVOTDATA("[Measures].[Count of Description]",$A$8)</f>
        <v>804.81726666666668</v>
      </c>
      <c r="I12" s="5" t="s">
        <v>14</v>
      </c>
      <c r="J12" s="18">
        <v>30439.7</v>
      </c>
    </row>
    <row r="13" spans="1:10" ht="15.75" x14ac:dyDescent="0.25">
      <c r="A13" s="3"/>
      <c r="D13" s="7">
        <f>MAX(B15:B18)</f>
        <v>0.31790943186358078</v>
      </c>
      <c r="E13" t="str">
        <f>INDEX(A15:A18, MATCH(D13, B15:B18, 0))</f>
        <v>HOTEL</v>
      </c>
      <c r="F13" t="str">
        <f>E13 &amp; " (" &amp; TEXT(D13,"0%") &amp; ")"</f>
        <v>HOTEL (32%)</v>
      </c>
      <c r="I13" s="5" t="s">
        <v>19</v>
      </c>
      <c r="J13" s="18">
        <v>28118.400000000001</v>
      </c>
    </row>
    <row r="14" spans="1:10" x14ac:dyDescent="0.25">
      <c r="A14" s="4" t="s">
        <v>623</v>
      </c>
      <c r="B14" t="s">
        <v>621</v>
      </c>
      <c r="I14" s="5" t="s">
        <v>35</v>
      </c>
      <c r="J14" s="18">
        <v>11636.42</v>
      </c>
    </row>
    <row r="15" spans="1:10" x14ac:dyDescent="0.25">
      <c r="A15" s="5" t="s">
        <v>620</v>
      </c>
      <c r="B15" s="7">
        <v>0.15408276114685746</v>
      </c>
      <c r="I15" s="5" t="s">
        <v>31</v>
      </c>
      <c r="J15" s="18">
        <v>11156.79</v>
      </c>
    </row>
    <row r="16" spans="1:10" x14ac:dyDescent="0.25">
      <c r="A16" s="5" t="s">
        <v>619</v>
      </c>
      <c r="B16" s="7">
        <v>0.21040859047175844</v>
      </c>
      <c r="I16" s="5" t="s">
        <v>624</v>
      </c>
      <c r="J16">
        <v>112035.81</v>
      </c>
    </row>
    <row r="17" spans="1:7" x14ac:dyDescent="0.25">
      <c r="A17" s="5" t="s">
        <v>617</v>
      </c>
      <c r="B17" s="7">
        <v>0.31759921651780337</v>
      </c>
    </row>
    <row r="18" spans="1:7" x14ac:dyDescent="0.25">
      <c r="A18" s="5" t="s">
        <v>173</v>
      </c>
      <c r="B18" s="7">
        <v>0.31790943186358078</v>
      </c>
    </row>
    <row r="19" spans="1:7" x14ac:dyDescent="0.25">
      <c r="A19" s="5" t="s">
        <v>624</v>
      </c>
      <c r="B19" s="6">
        <v>1</v>
      </c>
    </row>
    <row r="21" spans="1:7" x14ac:dyDescent="0.25">
      <c r="A21" s="4" t="s">
        <v>6</v>
      </c>
      <c r="B21" t="s" vm="1">
        <v>177</v>
      </c>
    </row>
    <row r="23" spans="1:7" x14ac:dyDescent="0.25">
      <c r="A23" t="s">
        <v>621</v>
      </c>
      <c r="F23" s="4" t="s">
        <v>623</v>
      </c>
      <c r="G23" t="s">
        <v>621</v>
      </c>
    </row>
    <row r="24" spans="1:7" x14ac:dyDescent="0.25">
      <c r="A24" s="2">
        <v>67617.179999999993</v>
      </c>
      <c r="F24" s="5" t="s">
        <v>618</v>
      </c>
      <c r="G24">
        <v>53105.41</v>
      </c>
    </row>
    <row r="25" spans="1:7" x14ac:dyDescent="0.25">
      <c r="F25" s="5" t="s">
        <v>177</v>
      </c>
      <c r="G25">
        <v>67617.179999999993</v>
      </c>
    </row>
    <row r="26" spans="1:7" x14ac:dyDescent="0.25">
      <c r="F26" s="5" t="s">
        <v>624</v>
      </c>
      <c r="G26">
        <v>120722.59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350FA-B71E-490C-A863-C1D93DC716F9}">
  <dimension ref="A1:T39"/>
  <sheetViews>
    <sheetView showGridLines="0" tabSelected="1" zoomScale="87" zoomScaleNormal="87" workbookViewId="0">
      <selection activeCell="Z7" sqref="Z7"/>
    </sheetView>
  </sheetViews>
  <sheetFormatPr defaultRowHeight="15" x14ac:dyDescent="0.25"/>
  <cols>
    <col min="1" max="1" width="40" customWidth="1"/>
    <col min="2" max="2" width="9.5703125" bestFit="1" customWidth="1"/>
  </cols>
  <sheetData>
    <row r="1" spans="1:20" ht="113.25" customHeight="1" x14ac:dyDescent="0.25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1"/>
    </row>
    <row r="2" spans="1:20" ht="15.75" x14ac:dyDescent="0.25">
      <c r="A2" s="12"/>
      <c r="B2" s="12"/>
      <c r="C2" s="13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15.75" x14ac:dyDescent="0.25">
      <c r="A3" s="15"/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 ht="15.75" x14ac:dyDescent="0.25">
      <c r="A4" s="12"/>
      <c r="B4" s="12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5.75" x14ac:dyDescent="0.25">
      <c r="A5" s="12"/>
      <c r="B5" s="12"/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20" ht="15.75" x14ac:dyDescent="0.25">
      <c r="A6" s="12"/>
      <c r="B6" s="12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5.75" x14ac:dyDescent="0.25">
      <c r="A7" s="12"/>
      <c r="B7" s="12"/>
      <c r="C7" s="13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20" ht="15.75" x14ac:dyDescent="0.25">
      <c r="A8" s="12"/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1:20" ht="15.75" x14ac:dyDescent="0.25">
      <c r="A9" s="12"/>
      <c r="B9" s="12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20" ht="15.75" x14ac:dyDescent="0.25">
      <c r="A10" s="15"/>
      <c r="B10" s="12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0" ht="15.75" x14ac:dyDescent="0.25">
      <c r="A11" s="12"/>
      <c r="B11" s="12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1:20" ht="15.75" x14ac:dyDescent="0.25">
      <c r="A12" s="12"/>
      <c r="B12" s="12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0" ht="15.75" x14ac:dyDescent="0.25">
      <c r="A13" s="12"/>
      <c r="B13" s="16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0" ht="15.75" x14ac:dyDescent="0.25">
      <c r="A14" s="12"/>
      <c r="B14" s="12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0" ht="15.75" x14ac:dyDescent="0.25">
      <c r="A15" s="12"/>
      <c r="B15" s="12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1:20" ht="15.75" x14ac:dyDescent="0.25">
      <c r="A16" s="12"/>
      <c r="B16" s="12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 ht="15.75" x14ac:dyDescent="0.25">
      <c r="A17" s="12"/>
      <c r="B17" s="12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 ht="15.75" x14ac:dyDescent="0.25">
      <c r="A18" s="12"/>
      <c r="B18" s="12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 ht="15.75" x14ac:dyDescent="0.25">
      <c r="A19" s="13"/>
      <c r="B19" s="13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20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spans="1:20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spans="1:20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spans="1:20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spans="1:20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pans="1:20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1:20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1:20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pans="1:20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0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spans="1:20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spans="1:20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spans="1:20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7"/>
      <c r="O39" s="14"/>
      <c r="P39" s="14"/>
      <c r="Q39" s="14"/>
      <c r="R39" s="14"/>
      <c r="S39" s="14"/>
      <c r="T39" s="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4CD9-7B15-491D-84E3-6592C243DD3B}">
  <dimension ref="A1:G151"/>
  <sheetViews>
    <sheetView topLeftCell="A4" workbookViewId="0">
      <selection sqref="A1:G151"/>
    </sheetView>
  </sheetViews>
  <sheetFormatPr defaultRowHeight="15" x14ac:dyDescent="0.25"/>
  <cols>
    <col min="1" max="1" width="10.42578125" customWidth="1"/>
    <col min="2" max="2" width="11.5703125" customWidth="1"/>
    <col min="3" max="3" width="21" customWidth="1"/>
    <col min="4" max="4" width="16.7109375" customWidth="1"/>
    <col min="5" max="5" width="11.140625" customWidth="1"/>
    <col min="6" max="6" width="9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616</v>
      </c>
      <c r="E1" t="s">
        <v>4</v>
      </c>
      <c r="F1" t="s">
        <v>5</v>
      </c>
      <c r="G1" t="s">
        <v>6</v>
      </c>
    </row>
    <row r="2" spans="1:7" x14ac:dyDescent="0.25">
      <c r="A2" s="1">
        <v>46097</v>
      </c>
      <c r="B2" t="s">
        <v>173</v>
      </c>
      <c r="C2" t="s">
        <v>8</v>
      </c>
      <c r="D2">
        <v>1015.83</v>
      </c>
      <c r="E2" t="s">
        <v>9</v>
      </c>
      <c r="F2" t="s">
        <v>10</v>
      </c>
      <c r="G2" t="s">
        <v>177</v>
      </c>
    </row>
    <row r="3" spans="1:7" x14ac:dyDescent="0.25">
      <c r="A3" s="1">
        <v>46058</v>
      </c>
      <c r="B3" t="s">
        <v>617</v>
      </c>
      <c r="C3" t="s">
        <v>13</v>
      </c>
      <c r="D3">
        <v>1464.46</v>
      </c>
      <c r="E3" t="s">
        <v>9</v>
      </c>
      <c r="F3" t="s">
        <v>14</v>
      </c>
      <c r="G3" t="s">
        <v>177</v>
      </c>
    </row>
    <row r="4" spans="1:7" x14ac:dyDescent="0.25">
      <c r="A4" s="1">
        <v>46069</v>
      </c>
      <c r="B4" t="s">
        <v>617</v>
      </c>
      <c r="C4" t="s">
        <v>15</v>
      </c>
      <c r="D4">
        <v>1174.48</v>
      </c>
      <c r="E4" t="s">
        <v>16</v>
      </c>
      <c r="F4" t="s">
        <v>10</v>
      </c>
      <c r="G4" t="s">
        <v>618</v>
      </c>
    </row>
    <row r="5" spans="1:7" x14ac:dyDescent="0.25">
      <c r="A5" s="1">
        <v>46053</v>
      </c>
      <c r="B5" t="s">
        <v>617</v>
      </c>
      <c r="C5" t="s">
        <v>18</v>
      </c>
      <c r="D5">
        <v>290.01</v>
      </c>
      <c r="E5" t="s">
        <v>16</v>
      </c>
      <c r="F5" t="s">
        <v>19</v>
      </c>
      <c r="G5" t="s">
        <v>618</v>
      </c>
    </row>
    <row r="6" spans="1:7" x14ac:dyDescent="0.25">
      <c r="A6" s="1">
        <v>46025</v>
      </c>
      <c r="B6" t="s">
        <v>617</v>
      </c>
      <c r="C6" t="s">
        <v>20</v>
      </c>
      <c r="D6">
        <v>981.38</v>
      </c>
      <c r="E6" t="s">
        <v>9</v>
      </c>
      <c r="F6" t="s">
        <v>10</v>
      </c>
      <c r="G6" t="s">
        <v>177</v>
      </c>
    </row>
    <row r="7" spans="1:7" x14ac:dyDescent="0.25">
      <c r="A7" s="1">
        <v>46072</v>
      </c>
      <c r="B7" t="s">
        <v>619</v>
      </c>
      <c r="C7" t="s">
        <v>22</v>
      </c>
      <c r="D7">
        <v>849.54</v>
      </c>
      <c r="E7" t="s">
        <v>9</v>
      </c>
      <c r="F7" t="s">
        <v>23</v>
      </c>
      <c r="G7" t="s">
        <v>177</v>
      </c>
    </row>
    <row r="8" spans="1:7" x14ac:dyDescent="0.25">
      <c r="A8" s="1">
        <v>46091</v>
      </c>
      <c r="B8" t="s">
        <v>619</v>
      </c>
      <c r="C8" t="s">
        <v>24</v>
      </c>
      <c r="D8">
        <v>1438.53</v>
      </c>
      <c r="E8" t="s">
        <v>25</v>
      </c>
      <c r="F8" t="s">
        <v>14</v>
      </c>
      <c r="G8" t="s">
        <v>177</v>
      </c>
    </row>
    <row r="9" spans="1:7" x14ac:dyDescent="0.25">
      <c r="A9" s="1">
        <v>46063</v>
      </c>
      <c r="B9" t="s">
        <v>617</v>
      </c>
      <c r="C9" t="s">
        <v>26</v>
      </c>
      <c r="D9">
        <v>706.44</v>
      </c>
      <c r="E9" t="s">
        <v>25</v>
      </c>
      <c r="F9" t="s">
        <v>14</v>
      </c>
      <c r="G9" t="s">
        <v>618</v>
      </c>
    </row>
    <row r="10" spans="1:7" x14ac:dyDescent="0.25">
      <c r="A10" s="1">
        <v>46046</v>
      </c>
      <c r="B10" t="s">
        <v>617</v>
      </c>
      <c r="C10" t="s">
        <v>27</v>
      </c>
      <c r="D10">
        <v>309.58999999999997</v>
      </c>
      <c r="E10" t="s">
        <v>9</v>
      </c>
      <c r="F10" t="s">
        <v>10</v>
      </c>
      <c r="G10" t="s">
        <v>618</v>
      </c>
    </row>
    <row r="11" spans="1:7" x14ac:dyDescent="0.25">
      <c r="A11" s="1">
        <v>46139</v>
      </c>
      <c r="B11" t="s">
        <v>619</v>
      </c>
      <c r="C11" t="s">
        <v>28</v>
      </c>
      <c r="D11">
        <v>1307.94</v>
      </c>
      <c r="E11" t="s">
        <v>9</v>
      </c>
      <c r="F11" t="s">
        <v>14</v>
      </c>
      <c r="G11" t="s">
        <v>177</v>
      </c>
    </row>
    <row r="12" spans="1:7" x14ac:dyDescent="0.25">
      <c r="A12" s="1">
        <v>46086</v>
      </c>
      <c r="B12" t="s">
        <v>617</v>
      </c>
      <c r="C12" t="s">
        <v>29</v>
      </c>
      <c r="D12">
        <v>1116.58</v>
      </c>
      <c r="E12" t="s">
        <v>16</v>
      </c>
      <c r="F12" t="s">
        <v>19</v>
      </c>
      <c r="G12" t="s">
        <v>177</v>
      </c>
    </row>
    <row r="13" spans="1:7" x14ac:dyDescent="0.25">
      <c r="A13" s="1">
        <v>46098</v>
      </c>
      <c r="B13" t="s">
        <v>173</v>
      </c>
      <c r="C13" t="s">
        <v>30</v>
      </c>
      <c r="D13">
        <v>273.19</v>
      </c>
      <c r="E13" t="s">
        <v>25</v>
      </c>
      <c r="F13" t="s">
        <v>31</v>
      </c>
      <c r="G13" t="s">
        <v>177</v>
      </c>
    </row>
    <row r="14" spans="1:7" x14ac:dyDescent="0.25">
      <c r="A14" s="1">
        <v>46053</v>
      </c>
      <c r="B14" t="s">
        <v>617</v>
      </c>
      <c r="C14" t="s">
        <v>32</v>
      </c>
      <c r="D14">
        <v>1108.01</v>
      </c>
      <c r="E14" t="s">
        <v>16</v>
      </c>
      <c r="F14" t="s">
        <v>14</v>
      </c>
      <c r="G14" t="s">
        <v>177</v>
      </c>
    </row>
    <row r="15" spans="1:7" x14ac:dyDescent="0.25">
      <c r="A15" s="1">
        <v>46111</v>
      </c>
      <c r="B15" t="s">
        <v>173</v>
      </c>
      <c r="C15" t="s">
        <v>33</v>
      </c>
      <c r="D15">
        <v>1124.6600000000001</v>
      </c>
      <c r="E15" t="s">
        <v>25</v>
      </c>
      <c r="F15" t="s">
        <v>10</v>
      </c>
      <c r="G15" t="s">
        <v>618</v>
      </c>
    </row>
    <row r="16" spans="1:7" x14ac:dyDescent="0.25">
      <c r="A16" s="1">
        <v>46207</v>
      </c>
      <c r="B16" t="s">
        <v>619</v>
      </c>
      <c r="C16" t="s">
        <v>34</v>
      </c>
      <c r="D16">
        <v>221.5</v>
      </c>
      <c r="E16" t="s">
        <v>16</v>
      </c>
      <c r="F16" t="s">
        <v>35</v>
      </c>
      <c r="G16" t="s">
        <v>177</v>
      </c>
    </row>
    <row r="17" spans="1:7" x14ac:dyDescent="0.25">
      <c r="A17" s="1">
        <v>46124</v>
      </c>
      <c r="B17" t="s">
        <v>617</v>
      </c>
      <c r="C17" t="s">
        <v>36</v>
      </c>
      <c r="D17">
        <v>406.42</v>
      </c>
      <c r="E17" t="s">
        <v>25</v>
      </c>
      <c r="F17" t="s">
        <v>14</v>
      </c>
      <c r="G17" t="s">
        <v>177</v>
      </c>
    </row>
    <row r="18" spans="1:7" x14ac:dyDescent="0.25">
      <c r="A18" s="1">
        <v>46360</v>
      </c>
      <c r="B18" t="s">
        <v>620</v>
      </c>
      <c r="C18" t="s">
        <v>38</v>
      </c>
      <c r="D18">
        <v>464.48</v>
      </c>
      <c r="E18" t="s">
        <v>9</v>
      </c>
      <c r="F18" t="s">
        <v>35</v>
      </c>
      <c r="G18" t="s">
        <v>618</v>
      </c>
    </row>
    <row r="19" spans="1:7" x14ac:dyDescent="0.25">
      <c r="A19" s="1">
        <v>46038</v>
      </c>
      <c r="B19" t="s">
        <v>173</v>
      </c>
      <c r="C19" t="s">
        <v>39</v>
      </c>
      <c r="D19">
        <v>238.3</v>
      </c>
      <c r="E19" t="s">
        <v>9</v>
      </c>
      <c r="F19" t="s">
        <v>19</v>
      </c>
      <c r="G19" t="s">
        <v>177</v>
      </c>
    </row>
    <row r="20" spans="1:7" x14ac:dyDescent="0.25">
      <c r="A20" s="1">
        <v>46082</v>
      </c>
      <c r="B20" t="s">
        <v>620</v>
      </c>
      <c r="C20" t="s">
        <v>40</v>
      </c>
      <c r="D20">
        <v>1314.7</v>
      </c>
      <c r="E20" t="s">
        <v>9</v>
      </c>
      <c r="F20" t="s">
        <v>31</v>
      </c>
      <c r="G20" t="s">
        <v>177</v>
      </c>
    </row>
    <row r="21" spans="1:7" x14ac:dyDescent="0.25">
      <c r="A21" s="1">
        <v>46101</v>
      </c>
      <c r="B21" t="s">
        <v>173</v>
      </c>
      <c r="C21" t="s">
        <v>41</v>
      </c>
      <c r="D21">
        <v>1395.42</v>
      </c>
      <c r="E21" t="s">
        <v>16</v>
      </c>
      <c r="F21" t="s">
        <v>10</v>
      </c>
      <c r="G21" t="s">
        <v>618</v>
      </c>
    </row>
    <row r="22" spans="1:7" x14ac:dyDescent="0.25">
      <c r="A22" s="1">
        <v>46026</v>
      </c>
      <c r="B22" t="s">
        <v>617</v>
      </c>
      <c r="C22" t="s">
        <v>42</v>
      </c>
      <c r="D22">
        <v>692.38</v>
      </c>
      <c r="E22" t="s">
        <v>25</v>
      </c>
      <c r="F22" t="s">
        <v>10</v>
      </c>
      <c r="G22" t="s">
        <v>177</v>
      </c>
    </row>
    <row r="23" spans="1:7" x14ac:dyDescent="0.25">
      <c r="A23" s="1">
        <v>46123</v>
      </c>
      <c r="B23" t="s">
        <v>619</v>
      </c>
      <c r="C23" t="s">
        <v>43</v>
      </c>
      <c r="D23">
        <v>764.51</v>
      </c>
      <c r="E23" t="s">
        <v>9</v>
      </c>
      <c r="F23" t="s">
        <v>14</v>
      </c>
      <c r="G23" t="s">
        <v>177</v>
      </c>
    </row>
    <row r="24" spans="1:7" x14ac:dyDescent="0.25">
      <c r="A24" s="1">
        <v>46046</v>
      </c>
      <c r="B24" t="s">
        <v>617</v>
      </c>
      <c r="C24" t="s">
        <v>44</v>
      </c>
      <c r="D24">
        <v>1249.8</v>
      </c>
      <c r="E24" t="s">
        <v>16</v>
      </c>
      <c r="F24" t="s">
        <v>14</v>
      </c>
      <c r="G24" t="s">
        <v>618</v>
      </c>
    </row>
    <row r="25" spans="1:7" x14ac:dyDescent="0.25">
      <c r="A25" s="1">
        <v>46068</v>
      </c>
      <c r="B25" t="s">
        <v>619</v>
      </c>
      <c r="C25" t="s">
        <v>45</v>
      </c>
      <c r="D25">
        <v>752.94</v>
      </c>
      <c r="E25" t="s">
        <v>9</v>
      </c>
      <c r="F25" t="s">
        <v>14</v>
      </c>
      <c r="G25" t="s">
        <v>177</v>
      </c>
    </row>
    <row r="26" spans="1:7" x14ac:dyDescent="0.25">
      <c r="A26" s="1">
        <v>46089</v>
      </c>
      <c r="B26" t="s">
        <v>617</v>
      </c>
      <c r="C26" t="s">
        <v>46</v>
      </c>
      <c r="D26">
        <v>1284.05</v>
      </c>
      <c r="E26" t="s">
        <v>9</v>
      </c>
      <c r="F26" t="s">
        <v>31</v>
      </c>
      <c r="G26" t="s">
        <v>618</v>
      </c>
    </row>
    <row r="27" spans="1:7" x14ac:dyDescent="0.25">
      <c r="A27" s="1">
        <v>46114</v>
      </c>
      <c r="B27" t="s">
        <v>173</v>
      </c>
      <c r="C27" t="s">
        <v>47</v>
      </c>
      <c r="D27">
        <v>262.13</v>
      </c>
      <c r="E27" t="s">
        <v>16</v>
      </c>
      <c r="F27" t="s">
        <v>14</v>
      </c>
      <c r="G27" t="s">
        <v>177</v>
      </c>
    </row>
    <row r="28" spans="1:7" x14ac:dyDescent="0.25">
      <c r="A28" s="1">
        <v>46130</v>
      </c>
      <c r="B28" t="s">
        <v>619</v>
      </c>
      <c r="C28" t="s">
        <v>48</v>
      </c>
      <c r="D28">
        <v>777.57</v>
      </c>
      <c r="E28" t="s">
        <v>25</v>
      </c>
      <c r="F28" t="s">
        <v>14</v>
      </c>
      <c r="G28" t="s">
        <v>618</v>
      </c>
    </row>
    <row r="29" spans="1:7" x14ac:dyDescent="0.25">
      <c r="A29" s="1">
        <v>46118</v>
      </c>
      <c r="B29" t="s">
        <v>617</v>
      </c>
      <c r="C29" t="s">
        <v>49</v>
      </c>
      <c r="D29">
        <v>1160.56</v>
      </c>
      <c r="E29" t="s">
        <v>9</v>
      </c>
      <c r="F29" t="s">
        <v>14</v>
      </c>
      <c r="G29" t="s">
        <v>618</v>
      </c>
    </row>
    <row r="30" spans="1:7" x14ac:dyDescent="0.25">
      <c r="A30" s="1">
        <v>46109</v>
      </c>
      <c r="B30" t="s">
        <v>620</v>
      </c>
      <c r="C30" t="s">
        <v>50</v>
      </c>
      <c r="D30">
        <v>1341.55</v>
      </c>
      <c r="E30" t="s">
        <v>16</v>
      </c>
      <c r="F30" t="s">
        <v>14</v>
      </c>
      <c r="G30" t="s">
        <v>618</v>
      </c>
    </row>
    <row r="31" spans="1:7" x14ac:dyDescent="0.25">
      <c r="A31" s="1">
        <v>46097</v>
      </c>
      <c r="B31" t="s">
        <v>620</v>
      </c>
      <c r="C31" t="s">
        <v>51</v>
      </c>
      <c r="D31">
        <v>1413.86</v>
      </c>
      <c r="E31" t="s">
        <v>9</v>
      </c>
      <c r="F31" t="s">
        <v>14</v>
      </c>
      <c r="G31" t="s">
        <v>618</v>
      </c>
    </row>
    <row r="32" spans="1:7" x14ac:dyDescent="0.25">
      <c r="A32" s="1">
        <v>46140</v>
      </c>
      <c r="B32" t="s">
        <v>620</v>
      </c>
      <c r="C32" t="s">
        <v>52</v>
      </c>
      <c r="D32">
        <v>997.04</v>
      </c>
      <c r="E32" t="s">
        <v>9</v>
      </c>
      <c r="F32" t="s">
        <v>14</v>
      </c>
      <c r="G32" t="s">
        <v>177</v>
      </c>
    </row>
    <row r="33" spans="1:7" x14ac:dyDescent="0.25">
      <c r="A33" s="1">
        <v>46140</v>
      </c>
      <c r="B33" t="s">
        <v>619</v>
      </c>
      <c r="C33" t="s">
        <v>53</v>
      </c>
      <c r="D33">
        <v>775.1</v>
      </c>
      <c r="E33" t="s">
        <v>25</v>
      </c>
      <c r="F33" t="s">
        <v>23</v>
      </c>
      <c r="G33" t="s">
        <v>618</v>
      </c>
    </row>
    <row r="34" spans="1:7" x14ac:dyDescent="0.25">
      <c r="A34" s="1">
        <v>46087</v>
      </c>
      <c r="B34" t="s">
        <v>619</v>
      </c>
      <c r="C34" t="s">
        <v>54</v>
      </c>
      <c r="D34">
        <v>359.69</v>
      </c>
      <c r="E34" t="s">
        <v>25</v>
      </c>
      <c r="F34" t="s">
        <v>19</v>
      </c>
      <c r="G34" t="s">
        <v>177</v>
      </c>
    </row>
    <row r="35" spans="1:7" x14ac:dyDescent="0.25">
      <c r="A35" s="1">
        <v>46071</v>
      </c>
      <c r="B35" t="s">
        <v>619</v>
      </c>
      <c r="C35" t="s">
        <v>55</v>
      </c>
      <c r="D35">
        <v>154.01</v>
      </c>
      <c r="E35" t="s">
        <v>25</v>
      </c>
      <c r="F35" t="s">
        <v>31</v>
      </c>
      <c r="G35" t="s">
        <v>177</v>
      </c>
    </row>
    <row r="36" spans="1:7" x14ac:dyDescent="0.25">
      <c r="A36" s="1">
        <v>46032</v>
      </c>
      <c r="B36" t="s">
        <v>617</v>
      </c>
      <c r="C36" t="s">
        <v>56</v>
      </c>
      <c r="D36">
        <v>1435.82</v>
      </c>
      <c r="E36" t="s">
        <v>9</v>
      </c>
      <c r="F36" t="s">
        <v>35</v>
      </c>
      <c r="G36" t="s">
        <v>177</v>
      </c>
    </row>
    <row r="37" spans="1:7" x14ac:dyDescent="0.25">
      <c r="A37" s="1">
        <v>46133</v>
      </c>
      <c r="B37" t="s">
        <v>619</v>
      </c>
      <c r="C37" t="s">
        <v>57</v>
      </c>
      <c r="D37">
        <v>109.97</v>
      </c>
      <c r="E37" t="s">
        <v>25</v>
      </c>
      <c r="F37" t="s">
        <v>31</v>
      </c>
      <c r="G37" t="s">
        <v>618</v>
      </c>
    </row>
    <row r="38" spans="1:7" x14ac:dyDescent="0.25">
      <c r="A38" s="1">
        <v>46069</v>
      </c>
      <c r="B38" t="s">
        <v>617</v>
      </c>
      <c r="C38" t="s">
        <v>58</v>
      </c>
      <c r="D38">
        <v>767.34</v>
      </c>
      <c r="E38" t="s">
        <v>9</v>
      </c>
      <c r="F38" t="s">
        <v>35</v>
      </c>
      <c r="G38" t="s">
        <v>177</v>
      </c>
    </row>
    <row r="39" spans="1:7" x14ac:dyDescent="0.25">
      <c r="A39" s="1">
        <v>46027</v>
      </c>
      <c r="B39" t="s">
        <v>620</v>
      </c>
      <c r="C39" t="s">
        <v>59</v>
      </c>
      <c r="D39">
        <v>295.85000000000002</v>
      </c>
      <c r="E39" t="s">
        <v>16</v>
      </c>
      <c r="F39" t="s">
        <v>14</v>
      </c>
      <c r="G39" t="s">
        <v>618</v>
      </c>
    </row>
    <row r="40" spans="1:7" x14ac:dyDescent="0.25">
      <c r="A40" s="1">
        <v>46099</v>
      </c>
      <c r="B40" t="s">
        <v>619</v>
      </c>
      <c r="C40" t="s">
        <v>60</v>
      </c>
      <c r="D40">
        <v>1133.44</v>
      </c>
      <c r="E40" t="s">
        <v>25</v>
      </c>
      <c r="F40" t="s">
        <v>19</v>
      </c>
      <c r="G40" t="s">
        <v>618</v>
      </c>
    </row>
    <row r="41" spans="1:7" x14ac:dyDescent="0.25">
      <c r="A41" s="1">
        <v>46204</v>
      </c>
      <c r="B41" t="s">
        <v>620</v>
      </c>
      <c r="C41" t="s">
        <v>61</v>
      </c>
      <c r="D41">
        <v>867.44</v>
      </c>
      <c r="E41" t="s">
        <v>25</v>
      </c>
      <c r="F41" t="s">
        <v>10</v>
      </c>
      <c r="G41" t="s">
        <v>177</v>
      </c>
    </row>
    <row r="42" spans="1:7" x14ac:dyDescent="0.25">
      <c r="A42" s="1">
        <v>46072</v>
      </c>
      <c r="B42" t="s">
        <v>620</v>
      </c>
      <c r="C42" t="s">
        <v>62</v>
      </c>
      <c r="D42">
        <v>645.05999999999995</v>
      </c>
      <c r="E42" t="s">
        <v>25</v>
      </c>
      <c r="F42" t="s">
        <v>10</v>
      </c>
      <c r="G42" t="s">
        <v>177</v>
      </c>
    </row>
    <row r="43" spans="1:7" x14ac:dyDescent="0.25">
      <c r="A43" s="1">
        <v>46142</v>
      </c>
      <c r="B43" t="s">
        <v>173</v>
      </c>
      <c r="C43" t="s">
        <v>63</v>
      </c>
      <c r="D43">
        <v>462.98</v>
      </c>
      <c r="E43" t="s">
        <v>9</v>
      </c>
      <c r="F43" t="s">
        <v>31</v>
      </c>
      <c r="G43" t="s">
        <v>177</v>
      </c>
    </row>
    <row r="44" spans="1:7" x14ac:dyDescent="0.25">
      <c r="A44" s="1">
        <v>46235</v>
      </c>
      <c r="B44" t="s">
        <v>620</v>
      </c>
      <c r="C44" t="s">
        <v>64</v>
      </c>
      <c r="D44">
        <v>1337.04</v>
      </c>
      <c r="E44" t="s">
        <v>16</v>
      </c>
      <c r="F44" t="s">
        <v>10</v>
      </c>
      <c r="G44" t="s">
        <v>177</v>
      </c>
    </row>
    <row r="45" spans="1:7" x14ac:dyDescent="0.25">
      <c r="A45" s="1">
        <v>46103</v>
      </c>
      <c r="B45" t="s">
        <v>619</v>
      </c>
      <c r="C45" t="s">
        <v>65</v>
      </c>
      <c r="D45">
        <v>361.64</v>
      </c>
      <c r="E45" t="s">
        <v>9</v>
      </c>
      <c r="F45" t="s">
        <v>10</v>
      </c>
      <c r="G45" t="s">
        <v>618</v>
      </c>
    </row>
    <row r="46" spans="1:7" x14ac:dyDescent="0.25">
      <c r="A46" s="1">
        <v>46077</v>
      </c>
      <c r="B46" t="s">
        <v>173</v>
      </c>
      <c r="C46" t="s">
        <v>66</v>
      </c>
      <c r="D46">
        <v>366.97</v>
      </c>
      <c r="E46" t="s">
        <v>16</v>
      </c>
      <c r="F46" t="s">
        <v>10</v>
      </c>
      <c r="G46" t="s">
        <v>618</v>
      </c>
    </row>
    <row r="47" spans="1:7" x14ac:dyDescent="0.25">
      <c r="A47" s="1">
        <v>46044</v>
      </c>
      <c r="B47" t="s">
        <v>617</v>
      </c>
      <c r="C47" t="s">
        <v>67</v>
      </c>
      <c r="D47">
        <v>1498.51</v>
      </c>
      <c r="E47" t="s">
        <v>9</v>
      </c>
      <c r="F47" t="s">
        <v>19</v>
      </c>
      <c r="G47" t="s">
        <v>177</v>
      </c>
    </row>
    <row r="48" spans="1:7" x14ac:dyDescent="0.25">
      <c r="A48" s="1">
        <v>46048</v>
      </c>
      <c r="B48" t="s">
        <v>617</v>
      </c>
      <c r="C48" t="s">
        <v>68</v>
      </c>
      <c r="D48">
        <v>1313.98</v>
      </c>
      <c r="E48" t="s">
        <v>25</v>
      </c>
      <c r="F48" t="s">
        <v>31</v>
      </c>
      <c r="G48" t="s">
        <v>177</v>
      </c>
    </row>
    <row r="49" spans="1:7" x14ac:dyDescent="0.25">
      <c r="A49" s="1">
        <v>46097</v>
      </c>
      <c r="B49" t="s">
        <v>173</v>
      </c>
      <c r="C49" t="s">
        <v>69</v>
      </c>
      <c r="D49">
        <v>855.23</v>
      </c>
      <c r="E49" t="s">
        <v>9</v>
      </c>
      <c r="F49" t="s">
        <v>14</v>
      </c>
      <c r="G49" t="s">
        <v>618</v>
      </c>
    </row>
    <row r="50" spans="1:7" x14ac:dyDescent="0.25">
      <c r="A50" s="1">
        <v>46124</v>
      </c>
      <c r="B50" t="s">
        <v>620</v>
      </c>
      <c r="C50" t="s">
        <v>70</v>
      </c>
      <c r="D50">
        <v>392.38</v>
      </c>
      <c r="E50" t="s">
        <v>9</v>
      </c>
      <c r="F50" t="s">
        <v>14</v>
      </c>
      <c r="G50" t="s">
        <v>618</v>
      </c>
    </row>
    <row r="51" spans="1:7" x14ac:dyDescent="0.25">
      <c r="A51" s="1">
        <v>46101</v>
      </c>
      <c r="B51" t="s">
        <v>619</v>
      </c>
      <c r="C51" t="s">
        <v>71</v>
      </c>
      <c r="D51">
        <v>473.83</v>
      </c>
      <c r="E51" t="s">
        <v>16</v>
      </c>
      <c r="F51" t="s">
        <v>35</v>
      </c>
      <c r="G51" t="s">
        <v>618</v>
      </c>
    </row>
    <row r="52" spans="1:7" x14ac:dyDescent="0.25">
      <c r="A52" s="1">
        <v>46054</v>
      </c>
      <c r="B52" t="s">
        <v>173</v>
      </c>
      <c r="C52" t="s">
        <v>72</v>
      </c>
      <c r="D52">
        <v>343.48</v>
      </c>
      <c r="E52" t="s">
        <v>9</v>
      </c>
      <c r="F52" t="s">
        <v>23</v>
      </c>
      <c r="G52" t="s">
        <v>618</v>
      </c>
    </row>
    <row r="53" spans="1:7" x14ac:dyDescent="0.25">
      <c r="A53" s="1">
        <v>46037</v>
      </c>
      <c r="B53" t="s">
        <v>173</v>
      </c>
      <c r="C53" t="s">
        <v>73</v>
      </c>
      <c r="D53">
        <v>1434.58</v>
      </c>
      <c r="E53" t="s">
        <v>9</v>
      </c>
      <c r="F53" t="s">
        <v>14</v>
      </c>
      <c r="G53" t="s">
        <v>618</v>
      </c>
    </row>
    <row r="54" spans="1:7" x14ac:dyDescent="0.25">
      <c r="A54" s="1">
        <v>46037</v>
      </c>
      <c r="B54" t="s">
        <v>617</v>
      </c>
      <c r="C54" t="s">
        <v>74</v>
      </c>
      <c r="D54">
        <v>204.37</v>
      </c>
      <c r="E54" t="s">
        <v>16</v>
      </c>
      <c r="F54" t="s">
        <v>19</v>
      </c>
      <c r="G54" t="s">
        <v>618</v>
      </c>
    </row>
    <row r="55" spans="1:7" x14ac:dyDescent="0.25">
      <c r="A55" s="1">
        <v>46091</v>
      </c>
      <c r="B55" t="s">
        <v>617</v>
      </c>
      <c r="C55" t="s">
        <v>75</v>
      </c>
      <c r="D55">
        <v>277.83999999999997</v>
      </c>
      <c r="E55" t="s">
        <v>25</v>
      </c>
      <c r="F55" t="s">
        <v>14</v>
      </c>
      <c r="G55" t="s">
        <v>177</v>
      </c>
    </row>
    <row r="56" spans="1:7" x14ac:dyDescent="0.25">
      <c r="A56" s="1">
        <v>46095</v>
      </c>
      <c r="B56" t="s">
        <v>620</v>
      </c>
      <c r="C56" t="s">
        <v>76</v>
      </c>
      <c r="D56">
        <v>852.29</v>
      </c>
      <c r="E56" t="s">
        <v>25</v>
      </c>
      <c r="F56" t="s">
        <v>14</v>
      </c>
      <c r="G56" t="s">
        <v>177</v>
      </c>
    </row>
    <row r="57" spans="1:7" x14ac:dyDescent="0.25">
      <c r="A57" s="1">
        <v>46096</v>
      </c>
      <c r="B57" t="s">
        <v>617</v>
      </c>
      <c r="C57" t="s">
        <v>77</v>
      </c>
      <c r="D57">
        <v>782.33</v>
      </c>
      <c r="E57" t="s">
        <v>9</v>
      </c>
      <c r="F57" t="s">
        <v>35</v>
      </c>
      <c r="G57" t="s">
        <v>177</v>
      </c>
    </row>
    <row r="58" spans="1:7" x14ac:dyDescent="0.25">
      <c r="A58" s="1">
        <v>46104</v>
      </c>
      <c r="B58" t="s">
        <v>617</v>
      </c>
      <c r="C58" t="s">
        <v>78</v>
      </c>
      <c r="D58">
        <v>79.11</v>
      </c>
      <c r="E58" t="s">
        <v>25</v>
      </c>
      <c r="F58" t="s">
        <v>19</v>
      </c>
      <c r="G58" t="s">
        <v>177</v>
      </c>
    </row>
    <row r="59" spans="1:7" x14ac:dyDescent="0.25">
      <c r="A59" s="1">
        <v>46037</v>
      </c>
      <c r="B59" t="s">
        <v>619</v>
      </c>
      <c r="C59" t="s">
        <v>79</v>
      </c>
      <c r="D59">
        <v>1430.57</v>
      </c>
      <c r="E59" t="s">
        <v>25</v>
      </c>
      <c r="F59" t="s">
        <v>19</v>
      </c>
      <c r="G59" t="s">
        <v>618</v>
      </c>
    </row>
    <row r="60" spans="1:7" x14ac:dyDescent="0.25">
      <c r="A60" s="1">
        <v>46033</v>
      </c>
      <c r="B60" t="s">
        <v>620</v>
      </c>
      <c r="C60" t="s">
        <v>80</v>
      </c>
      <c r="D60">
        <v>166.83</v>
      </c>
      <c r="E60" t="s">
        <v>16</v>
      </c>
      <c r="F60" t="s">
        <v>31</v>
      </c>
      <c r="G60" t="s">
        <v>618</v>
      </c>
    </row>
    <row r="61" spans="1:7" x14ac:dyDescent="0.25">
      <c r="A61" s="1">
        <v>46126</v>
      </c>
      <c r="B61" t="s">
        <v>173</v>
      </c>
      <c r="C61" t="s">
        <v>81</v>
      </c>
      <c r="D61">
        <v>1444.96</v>
      </c>
      <c r="E61" t="s">
        <v>16</v>
      </c>
      <c r="F61" t="s">
        <v>10</v>
      </c>
      <c r="G61" t="s">
        <v>618</v>
      </c>
    </row>
    <row r="62" spans="1:7" x14ac:dyDescent="0.25">
      <c r="A62" s="1">
        <v>46134</v>
      </c>
      <c r="B62" t="s">
        <v>619</v>
      </c>
      <c r="C62" t="s">
        <v>82</v>
      </c>
      <c r="D62">
        <v>1121.22</v>
      </c>
      <c r="E62" t="s">
        <v>16</v>
      </c>
      <c r="F62" t="s">
        <v>35</v>
      </c>
      <c r="G62" t="s">
        <v>177</v>
      </c>
    </row>
    <row r="63" spans="1:7" x14ac:dyDescent="0.25">
      <c r="A63" s="1">
        <v>46025</v>
      </c>
      <c r="B63" t="s">
        <v>619</v>
      </c>
      <c r="C63" t="s">
        <v>83</v>
      </c>
      <c r="D63">
        <v>289.39</v>
      </c>
      <c r="E63" t="s">
        <v>16</v>
      </c>
      <c r="F63" t="s">
        <v>35</v>
      </c>
      <c r="G63" t="s">
        <v>177</v>
      </c>
    </row>
    <row r="64" spans="1:7" x14ac:dyDescent="0.25">
      <c r="A64" s="1">
        <v>46073</v>
      </c>
      <c r="B64" t="s">
        <v>619</v>
      </c>
      <c r="C64" t="s">
        <v>84</v>
      </c>
      <c r="D64">
        <v>378.83</v>
      </c>
      <c r="E64" t="s">
        <v>25</v>
      </c>
      <c r="F64" t="s">
        <v>19</v>
      </c>
      <c r="G64" t="s">
        <v>177</v>
      </c>
    </row>
    <row r="65" spans="1:7" x14ac:dyDescent="0.25">
      <c r="A65" s="1">
        <v>46146</v>
      </c>
      <c r="B65" t="s">
        <v>617</v>
      </c>
      <c r="C65" t="s">
        <v>85</v>
      </c>
      <c r="D65">
        <v>512.25</v>
      </c>
      <c r="E65" t="s">
        <v>16</v>
      </c>
      <c r="F65" t="s">
        <v>14</v>
      </c>
      <c r="G65" t="s">
        <v>618</v>
      </c>
    </row>
    <row r="66" spans="1:7" x14ac:dyDescent="0.25">
      <c r="A66" s="1">
        <v>46052</v>
      </c>
      <c r="B66" t="s">
        <v>617</v>
      </c>
      <c r="C66" t="s">
        <v>86</v>
      </c>
      <c r="D66">
        <v>1294.8900000000001</v>
      </c>
      <c r="E66" t="s">
        <v>9</v>
      </c>
      <c r="F66" t="s">
        <v>10</v>
      </c>
      <c r="G66" t="s">
        <v>177</v>
      </c>
    </row>
    <row r="67" spans="1:7" x14ac:dyDescent="0.25">
      <c r="A67" s="1">
        <v>46050</v>
      </c>
      <c r="B67" t="s">
        <v>173</v>
      </c>
      <c r="C67" t="s">
        <v>87</v>
      </c>
      <c r="D67">
        <v>724.45</v>
      </c>
      <c r="E67" t="s">
        <v>16</v>
      </c>
      <c r="F67" t="s">
        <v>19</v>
      </c>
      <c r="G67" t="s">
        <v>177</v>
      </c>
    </row>
    <row r="68" spans="1:7" x14ac:dyDescent="0.25">
      <c r="A68" s="1">
        <v>46052</v>
      </c>
      <c r="B68" t="s">
        <v>173</v>
      </c>
      <c r="C68" t="s">
        <v>88</v>
      </c>
      <c r="D68">
        <v>121.67</v>
      </c>
      <c r="E68" t="s">
        <v>25</v>
      </c>
      <c r="F68" t="s">
        <v>10</v>
      </c>
      <c r="G68" t="s">
        <v>618</v>
      </c>
    </row>
    <row r="69" spans="1:7" x14ac:dyDescent="0.25">
      <c r="A69" s="1">
        <v>46103</v>
      </c>
      <c r="B69" t="s">
        <v>173</v>
      </c>
      <c r="C69" t="s">
        <v>89</v>
      </c>
      <c r="D69">
        <v>1195.27</v>
      </c>
      <c r="E69" t="s">
        <v>9</v>
      </c>
      <c r="F69" t="s">
        <v>10</v>
      </c>
      <c r="G69" t="s">
        <v>618</v>
      </c>
    </row>
    <row r="70" spans="1:7" x14ac:dyDescent="0.25">
      <c r="A70" s="1">
        <v>46207</v>
      </c>
      <c r="B70" t="s">
        <v>173</v>
      </c>
      <c r="C70" t="s">
        <v>90</v>
      </c>
      <c r="D70">
        <v>1009.61</v>
      </c>
      <c r="E70" t="s">
        <v>16</v>
      </c>
      <c r="F70" t="s">
        <v>19</v>
      </c>
      <c r="G70" t="s">
        <v>618</v>
      </c>
    </row>
    <row r="71" spans="1:7" x14ac:dyDescent="0.25">
      <c r="A71" s="1">
        <v>46140</v>
      </c>
      <c r="B71" t="s">
        <v>619</v>
      </c>
      <c r="C71" t="s">
        <v>91</v>
      </c>
      <c r="D71">
        <v>41.65</v>
      </c>
      <c r="E71" t="s">
        <v>9</v>
      </c>
      <c r="F71" t="s">
        <v>10</v>
      </c>
      <c r="G71" t="s">
        <v>177</v>
      </c>
    </row>
    <row r="72" spans="1:7" x14ac:dyDescent="0.25">
      <c r="A72" s="1">
        <v>46129</v>
      </c>
      <c r="B72" t="s">
        <v>173</v>
      </c>
      <c r="C72" t="s">
        <v>92</v>
      </c>
      <c r="D72">
        <v>761.22</v>
      </c>
      <c r="E72" t="s">
        <v>9</v>
      </c>
      <c r="F72" t="s">
        <v>10</v>
      </c>
      <c r="G72" t="s">
        <v>618</v>
      </c>
    </row>
    <row r="73" spans="1:7" x14ac:dyDescent="0.25">
      <c r="A73" s="1">
        <v>46129</v>
      </c>
      <c r="B73" t="s">
        <v>173</v>
      </c>
      <c r="C73" t="s">
        <v>93</v>
      </c>
      <c r="D73">
        <v>1173.54</v>
      </c>
      <c r="E73" t="s">
        <v>9</v>
      </c>
      <c r="F73" t="s">
        <v>35</v>
      </c>
      <c r="G73" t="s">
        <v>177</v>
      </c>
    </row>
    <row r="74" spans="1:7" x14ac:dyDescent="0.25">
      <c r="A74" s="1">
        <v>46054</v>
      </c>
      <c r="B74" t="s">
        <v>617</v>
      </c>
      <c r="C74" t="s">
        <v>94</v>
      </c>
      <c r="D74">
        <v>194.13</v>
      </c>
      <c r="E74" t="s">
        <v>9</v>
      </c>
      <c r="F74" t="s">
        <v>35</v>
      </c>
      <c r="G74" t="s">
        <v>177</v>
      </c>
    </row>
    <row r="75" spans="1:7" x14ac:dyDescent="0.25">
      <c r="A75" s="1">
        <v>46080</v>
      </c>
      <c r="B75" t="s">
        <v>619</v>
      </c>
      <c r="C75" t="s">
        <v>95</v>
      </c>
      <c r="D75">
        <v>703.46</v>
      </c>
      <c r="E75" t="s">
        <v>9</v>
      </c>
      <c r="F75" t="s">
        <v>19</v>
      </c>
      <c r="G75" t="s">
        <v>177</v>
      </c>
    </row>
    <row r="76" spans="1:7" x14ac:dyDescent="0.25">
      <c r="A76" s="1">
        <v>46027</v>
      </c>
      <c r="B76" t="s">
        <v>619</v>
      </c>
      <c r="C76" t="s">
        <v>96</v>
      </c>
      <c r="D76">
        <v>1487.17</v>
      </c>
      <c r="E76" t="s">
        <v>9</v>
      </c>
      <c r="F76" t="s">
        <v>19</v>
      </c>
      <c r="G76" t="s">
        <v>618</v>
      </c>
    </row>
    <row r="77" spans="1:7" x14ac:dyDescent="0.25">
      <c r="A77" s="1">
        <v>46131</v>
      </c>
      <c r="B77" t="s">
        <v>617</v>
      </c>
      <c r="C77" t="s">
        <v>97</v>
      </c>
      <c r="D77">
        <v>1210.51</v>
      </c>
      <c r="E77" t="s">
        <v>9</v>
      </c>
      <c r="F77" t="s">
        <v>23</v>
      </c>
      <c r="G77" t="s">
        <v>618</v>
      </c>
    </row>
    <row r="78" spans="1:7" x14ac:dyDescent="0.25">
      <c r="A78" s="1">
        <v>46073</v>
      </c>
      <c r="B78" t="s">
        <v>173</v>
      </c>
      <c r="C78" t="s">
        <v>98</v>
      </c>
      <c r="D78">
        <v>522.22</v>
      </c>
      <c r="E78" t="s">
        <v>25</v>
      </c>
      <c r="F78" t="s">
        <v>14</v>
      </c>
      <c r="G78" t="s">
        <v>177</v>
      </c>
    </row>
    <row r="79" spans="1:7" x14ac:dyDescent="0.25">
      <c r="A79" s="1">
        <v>46139</v>
      </c>
      <c r="B79" t="s">
        <v>173</v>
      </c>
      <c r="C79" t="s">
        <v>99</v>
      </c>
      <c r="D79">
        <v>132.66999999999999</v>
      </c>
      <c r="E79" t="s">
        <v>9</v>
      </c>
      <c r="F79" t="s">
        <v>10</v>
      </c>
      <c r="G79" t="s">
        <v>618</v>
      </c>
    </row>
    <row r="80" spans="1:7" x14ac:dyDescent="0.25">
      <c r="A80" s="1">
        <v>46105</v>
      </c>
      <c r="B80" t="s">
        <v>173</v>
      </c>
      <c r="C80" t="s">
        <v>100</v>
      </c>
      <c r="D80">
        <v>1024.4000000000001</v>
      </c>
      <c r="E80" t="s">
        <v>25</v>
      </c>
      <c r="F80" t="s">
        <v>23</v>
      </c>
      <c r="G80" t="s">
        <v>618</v>
      </c>
    </row>
    <row r="81" spans="1:7" x14ac:dyDescent="0.25">
      <c r="A81" s="1">
        <v>46064</v>
      </c>
      <c r="B81" t="s">
        <v>619</v>
      </c>
      <c r="C81" t="s">
        <v>101</v>
      </c>
      <c r="D81">
        <v>628.22</v>
      </c>
      <c r="E81" t="s">
        <v>9</v>
      </c>
      <c r="F81" t="s">
        <v>19</v>
      </c>
      <c r="G81" t="s">
        <v>618</v>
      </c>
    </row>
    <row r="82" spans="1:7" x14ac:dyDescent="0.25">
      <c r="A82" s="1">
        <v>46072</v>
      </c>
      <c r="B82" t="s">
        <v>173</v>
      </c>
      <c r="C82" t="s">
        <v>102</v>
      </c>
      <c r="D82">
        <v>571.73</v>
      </c>
      <c r="E82" t="s">
        <v>9</v>
      </c>
      <c r="F82" t="s">
        <v>14</v>
      </c>
      <c r="G82" t="s">
        <v>177</v>
      </c>
    </row>
    <row r="83" spans="1:7" x14ac:dyDescent="0.25">
      <c r="A83" s="1">
        <v>46114</v>
      </c>
      <c r="B83" t="s">
        <v>173</v>
      </c>
      <c r="C83" t="s">
        <v>103</v>
      </c>
      <c r="D83">
        <v>1408.9</v>
      </c>
      <c r="E83" t="s">
        <v>25</v>
      </c>
      <c r="F83" t="s">
        <v>10</v>
      </c>
      <c r="G83" t="s">
        <v>177</v>
      </c>
    </row>
    <row r="84" spans="1:7" x14ac:dyDescent="0.25">
      <c r="A84" s="1">
        <v>46113</v>
      </c>
      <c r="B84" t="s">
        <v>617</v>
      </c>
      <c r="C84" t="s">
        <v>104</v>
      </c>
      <c r="D84">
        <v>1295.0899999999999</v>
      </c>
      <c r="E84" t="s">
        <v>25</v>
      </c>
      <c r="F84" t="s">
        <v>10</v>
      </c>
      <c r="G84" t="s">
        <v>618</v>
      </c>
    </row>
    <row r="85" spans="1:7" x14ac:dyDescent="0.25">
      <c r="A85" s="1">
        <v>46126</v>
      </c>
      <c r="B85" t="s">
        <v>617</v>
      </c>
      <c r="C85" t="s">
        <v>105</v>
      </c>
      <c r="D85">
        <v>1269.72</v>
      </c>
      <c r="E85" t="s">
        <v>9</v>
      </c>
      <c r="F85" t="s">
        <v>31</v>
      </c>
      <c r="G85" t="s">
        <v>618</v>
      </c>
    </row>
    <row r="86" spans="1:7" x14ac:dyDescent="0.25">
      <c r="A86" s="1">
        <v>46131</v>
      </c>
      <c r="B86" t="s">
        <v>619</v>
      </c>
      <c r="C86" t="s">
        <v>106</v>
      </c>
      <c r="D86">
        <v>859.9</v>
      </c>
      <c r="E86" t="s">
        <v>9</v>
      </c>
      <c r="F86" t="s">
        <v>19</v>
      </c>
      <c r="G86" t="s">
        <v>618</v>
      </c>
    </row>
    <row r="87" spans="1:7" x14ac:dyDescent="0.25">
      <c r="A87" s="1">
        <v>46075</v>
      </c>
      <c r="B87" t="s">
        <v>617</v>
      </c>
      <c r="C87" t="s">
        <v>107</v>
      </c>
      <c r="D87">
        <v>710.13</v>
      </c>
      <c r="E87" t="s">
        <v>25</v>
      </c>
      <c r="F87" t="s">
        <v>19</v>
      </c>
      <c r="G87" t="s">
        <v>618</v>
      </c>
    </row>
    <row r="88" spans="1:7" x14ac:dyDescent="0.25">
      <c r="A88" s="1">
        <v>46076</v>
      </c>
      <c r="B88" t="s">
        <v>173</v>
      </c>
      <c r="C88" t="s">
        <v>108</v>
      </c>
      <c r="D88">
        <v>1254.8699999999999</v>
      </c>
      <c r="E88" t="s">
        <v>25</v>
      </c>
      <c r="F88" t="s">
        <v>23</v>
      </c>
      <c r="G88" t="s">
        <v>618</v>
      </c>
    </row>
    <row r="89" spans="1:7" x14ac:dyDescent="0.25">
      <c r="A89" s="1">
        <v>46113</v>
      </c>
      <c r="B89" t="s">
        <v>173</v>
      </c>
      <c r="C89" t="s">
        <v>109</v>
      </c>
      <c r="D89">
        <v>1117.25</v>
      </c>
      <c r="E89" t="s">
        <v>25</v>
      </c>
      <c r="F89" t="s">
        <v>19</v>
      </c>
      <c r="G89" t="s">
        <v>177</v>
      </c>
    </row>
    <row r="90" spans="1:7" x14ac:dyDescent="0.25">
      <c r="A90" s="1">
        <v>46051</v>
      </c>
      <c r="B90" t="s">
        <v>173</v>
      </c>
      <c r="C90" t="s">
        <v>110</v>
      </c>
      <c r="D90">
        <v>1427.08</v>
      </c>
      <c r="E90" t="s">
        <v>25</v>
      </c>
      <c r="F90" t="s">
        <v>19</v>
      </c>
      <c r="G90" t="s">
        <v>177</v>
      </c>
    </row>
    <row r="91" spans="1:7" x14ac:dyDescent="0.25">
      <c r="A91" s="1">
        <v>46052</v>
      </c>
      <c r="B91" t="s">
        <v>619</v>
      </c>
      <c r="C91" t="s">
        <v>111</v>
      </c>
      <c r="D91">
        <v>1283.79</v>
      </c>
      <c r="E91" t="s">
        <v>9</v>
      </c>
      <c r="F91" t="s">
        <v>14</v>
      </c>
      <c r="G91" t="s">
        <v>618</v>
      </c>
    </row>
    <row r="92" spans="1:7" x14ac:dyDescent="0.25">
      <c r="A92" s="1">
        <v>46103</v>
      </c>
      <c r="B92" t="s">
        <v>617</v>
      </c>
      <c r="C92" t="s">
        <v>112</v>
      </c>
      <c r="D92">
        <v>1064.02</v>
      </c>
      <c r="E92" t="s">
        <v>25</v>
      </c>
      <c r="F92" t="s">
        <v>35</v>
      </c>
      <c r="G92" t="s">
        <v>177</v>
      </c>
    </row>
    <row r="93" spans="1:7" x14ac:dyDescent="0.25">
      <c r="A93" s="1">
        <v>46094</v>
      </c>
      <c r="B93" t="s">
        <v>620</v>
      </c>
      <c r="C93" t="s">
        <v>113</v>
      </c>
      <c r="D93">
        <v>1040.98</v>
      </c>
      <c r="E93" t="s">
        <v>25</v>
      </c>
      <c r="F93" t="s">
        <v>19</v>
      </c>
      <c r="G93" t="s">
        <v>177</v>
      </c>
    </row>
    <row r="94" spans="1:7" x14ac:dyDescent="0.25">
      <c r="A94" s="1">
        <v>46121</v>
      </c>
      <c r="B94" t="s">
        <v>620</v>
      </c>
      <c r="C94" t="s">
        <v>114</v>
      </c>
      <c r="D94">
        <v>732.33</v>
      </c>
      <c r="E94" t="s">
        <v>25</v>
      </c>
      <c r="F94" t="s">
        <v>19</v>
      </c>
      <c r="G94" t="s">
        <v>177</v>
      </c>
    </row>
    <row r="95" spans="1:7" x14ac:dyDescent="0.25">
      <c r="A95" s="1">
        <v>46141</v>
      </c>
      <c r="B95" t="s">
        <v>619</v>
      </c>
      <c r="C95" t="s">
        <v>115</v>
      </c>
      <c r="D95">
        <v>1183.94</v>
      </c>
      <c r="E95" t="s">
        <v>16</v>
      </c>
      <c r="F95" t="s">
        <v>10</v>
      </c>
      <c r="G95" t="s">
        <v>177</v>
      </c>
    </row>
    <row r="96" spans="1:7" x14ac:dyDescent="0.25">
      <c r="A96" s="1">
        <v>46296</v>
      </c>
      <c r="B96" t="s">
        <v>617</v>
      </c>
      <c r="C96" t="s">
        <v>116</v>
      </c>
      <c r="D96">
        <v>1039.83</v>
      </c>
      <c r="E96" t="s">
        <v>9</v>
      </c>
      <c r="F96" t="s">
        <v>14</v>
      </c>
      <c r="G96" t="s">
        <v>177</v>
      </c>
    </row>
    <row r="97" spans="1:7" x14ac:dyDescent="0.25">
      <c r="A97" s="1">
        <v>46083</v>
      </c>
      <c r="B97" t="s">
        <v>619</v>
      </c>
      <c r="C97" t="s">
        <v>117</v>
      </c>
      <c r="D97">
        <v>503.97</v>
      </c>
      <c r="E97" t="s">
        <v>16</v>
      </c>
      <c r="F97" t="s">
        <v>14</v>
      </c>
      <c r="G97" t="s">
        <v>177</v>
      </c>
    </row>
    <row r="98" spans="1:7" x14ac:dyDescent="0.25">
      <c r="A98" s="1">
        <v>46032</v>
      </c>
      <c r="B98" t="s">
        <v>173</v>
      </c>
      <c r="C98" t="s">
        <v>118</v>
      </c>
      <c r="D98">
        <v>1094.19</v>
      </c>
      <c r="E98" t="s">
        <v>9</v>
      </c>
      <c r="F98" t="s">
        <v>31</v>
      </c>
      <c r="G98" t="s">
        <v>177</v>
      </c>
    </row>
    <row r="99" spans="1:7" x14ac:dyDescent="0.25">
      <c r="A99" s="1">
        <v>46091</v>
      </c>
      <c r="B99" t="s">
        <v>617</v>
      </c>
      <c r="C99" t="s">
        <v>119</v>
      </c>
      <c r="D99">
        <v>945.66</v>
      </c>
      <c r="E99" t="s">
        <v>16</v>
      </c>
      <c r="F99" t="s">
        <v>23</v>
      </c>
      <c r="G99" t="s">
        <v>618</v>
      </c>
    </row>
    <row r="100" spans="1:7" x14ac:dyDescent="0.25">
      <c r="A100" s="1">
        <v>46136</v>
      </c>
      <c r="B100" t="s">
        <v>619</v>
      </c>
      <c r="C100" t="s">
        <v>120</v>
      </c>
      <c r="D100">
        <v>17.440000000000001</v>
      </c>
      <c r="E100" t="s">
        <v>25</v>
      </c>
      <c r="F100" t="s">
        <v>14</v>
      </c>
      <c r="G100" t="s">
        <v>177</v>
      </c>
    </row>
    <row r="101" spans="1:7" x14ac:dyDescent="0.25">
      <c r="A101" s="1">
        <v>46077</v>
      </c>
      <c r="B101" t="s">
        <v>173</v>
      </c>
      <c r="C101" t="s">
        <v>121</v>
      </c>
      <c r="D101">
        <v>1084.3800000000001</v>
      </c>
      <c r="E101" t="s">
        <v>9</v>
      </c>
      <c r="F101" t="s">
        <v>10</v>
      </c>
      <c r="G101" t="s">
        <v>177</v>
      </c>
    </row>
    <row r="102" spans="1:7" x14ac:dyDescent="0.25">
      <c r="A102" s="1">
        <v>46083</v>
      </c>
      <c r="B102" t="s">
        <v>617</v>
      </c>
      <c r="C102" t="s">
        <v>122</v>
      </c>
      <c r="D102">
        <v>910.87</v>
      </c>
      <c r="E102" t="s">
        <v>16</v>
      </c>
      <c r="F102" t="s">
        <v>19</v>
      </c>
      <c r="G102" t="s">
        <v>177</v>
      </c>
    </row>
    <row r="103" spans="1:7" x14ac:dyDescent="0.25">
      <c r="A103" s="1">
        <v>46127</v>
      </c>
      <c r="B103" t="s">
        <v>619</v>
      </c>
      <c r="C103" t="s">
        <v>123</v>
      </c>
      <c r="D103">
        <v>190.31</v>
      </c>
      <c r="E103" t="s">
        <v>9</v>
      </c>
      <c r="F103" t="s">
        <v>14</v>
      </c>
      <c r="G103" t="s">
        <v>177</v>
      </c>
    </row>
    <row r="104" spans="1:7" x14ac:dyDescent="0.25">
      <c r="A104" s="1">
        <v>46111</v>
      </c>
      <c r="B104" t="s">
        <v>617</v>
      </c>
      <c r="C104" t="s">
        <v>124</v>
      </c>
      <c r="D104">
        <v>602.36</v>
      </c>
      <c r="E104" t="s">
        <v>16</v>
      </c>
      <c r="F104" t="s">
        <v>10</v>
      </c>
      <c r="G104" t="s">
        <v>177</v>
      </c>
    </row>
    <row r="105" spans="1:7" x14ac:dyDescent="0.25">
      <c r="A105" s="1">
        <v>46122</v>
      </c>
      <c r="B105" t="s">
        <v>173</v>
      </c>
      <c r="C105" t="s">
        <v>125</v>
      </c>
      <c r="D105">
        <v>1387.18</v>
      </c>
      <c r="E105" t="s">
        <v>16</v>
      </c>
      <c r="F105" t="s">
        <v>23</v>
      </c>
      <c r="G105" t="s">
        <v>618</v>
      </c>
    </row>
    <row r="106" spans="1:7" x14ac:dyDescent="0.25">
      <c r="A106" s="1">
        <v>46113</v>
      </c>
      <c r="B106" t="s">
        <v>619</v>
      </c>
      <c r="C106" t="s">
        <v>126</v>
      </c>
      <c r="D106">
        <v>1160.24</v>
      </c>
      <c r="E106" t="s">
        <v>25</v>
      </c>
      <c r="F106" t="s">
        <v>19</v>
      </c>
      <c r="G106" t="s">
        <v>177</v>
      </c>
    </row>
    <row r="107" spans="1:7" x14ac:dyDescent="0.25">
      <c r="A107" s="1">
        <v>46139</v>
      </c>
      <c r="B107" t="s">
        <v>617</v>
      </c>
      <c r="C107" t="s">
        <v>127</v>
      </c>
      <c r="D107">
        <v>144.27000000000001</v>
      </c>
      <c r="E107" t="s">
        <v>25</v>
      </c>
      <c r="F107" t="s">
        <v>35</v>
      </c>
      <c r="G107" t="s">
        <v>618</v>
      </c>
    </row>
    <row r="108" spans="1:7" x14ac:dyDescent="0.25">
      <c r="A108" s="1">
        <v>46035</v>
      </c>
      <c r="B108" t="s">
        <v>619</v>
      </c>
      <c r="C108" t="s">
        <v>128</v>
      </c>
      <c r="D108">
        <v>647.36</v>
      </c>
      <c r="E108" t="s">
        <v>9</v>
      </c>
      <c r="F108" t="s">
        <v>14</v>
      </c>
      <c r="G108" t="s">
        <v>618</v>
      </c>
    </row>
    <row r="109" spans="1:7" x14ac:dyDescent="0.25">
      <c r="A109" s="1">
        <v>46058</v>
      </c>
      <c r="B109" t="s">
        <v>619</v>
      </c>
      <c r="C109" t="s">
        <v>129</v>
      </c>
      <c r="D109">
        <v>1056.43</v>
      </c>
      <c r="E109" t="s">
        <v>25</v>
      </c>
      <c r="F109" t="s">
        <v>10</v>
      </c>
      <c r="G109" t="s">
        <v>618</v>
      </c>
    </row>
    <row r="110" spans="1:7" x14ac:dyDescent="0.25">
      <c r="A110" s="1">
        <v>46024</v>
      </c>
      <c r="B110" t="s">
        <v>617</v>
      </c>
      <c r="C110" t="s">
        <v>130</v>
      </c>
      <c r="D110">
        <v>1213.81</v>
      </c>
      <c r="E110" t="s">
        <v>16</v>
      </c>
      <c r="F110" t="s">
        <v>19</v>
      </c>
      <c r="G110" t="s">
        <v>177</v>
      </c>
    </row>
    <row r="111" spans="1:7" x14ac:dyDescent="0.25">
      <c r="A111" s="1">
        <v>46071</v>
      </c>
      <c r="B111" t="s">
        <v>617</v>
      </c>
      <c r="C111" t="s">
        <v>131</v>
      </c>
      <c r="D111">
        <v>262.14999999999998</v>
      </c>
      <c r="E111" t="s">
        <v>25</v>
      </c>
      <c r="F111" t="s">
        <v>10</v>
      </c>
      <c r="G111" t="s">
        <v>618</v>
      </c>
    </row>
    <row r="112" spans="1:7" x14ac:dyDescent="0.25">
      <c r="A112" s="1">
        <v>46044</v>
      </c>
      <c r="B112" t="s">
        <v>173</v>
      </c>
      <c r="C112" t="s">
        <v>132</v>
      </c>
      <c r="D112">
        <v>1234.76</v>
      </c>
      <c r="E112" t="s">
        <v>16</v>
      </c>
      <c r="F112" t="s">
        <v>10</v>
      </c>
      <c r="G112" t="s">
        <v>177</v>
      </c>
    </row>
    <row r="113" spans="1:7" x14ac:dyDescent="0.25">
      <c r="A113" s="1">
        <v>46141</v>
      </c>
      <c r="B113" t="s">
        <v>620</v>
      </c>
      <c r="C113" t="s">
        <v>133</v>
      </c>
      <c r="D113">
        <v>153.79</v>
      </c>
      <c r="E113" t="s">
        <v>25</v>
      </c>
      <c r="F113" t="s">
        <v>35</v>
      </c>
      <c r="G113" t="s">
        <v>177</v>
      </c>
    </row>
    <row r="114" spans="1:7" x14ac:dyDescent="0.25">
      <c r="A114" s="1">
        <v>46207</v>
      </c>
      <c r="B114" t="s">
        <v>617</v>
      </c>
      <c r="C114" t="s">
        <v>134</v>
      </c>
      <c r="D114">
        <v>1029.03</v>
      </c>
      <c r="E114" t="s">
        <v>9</v>
      </c>
      <c r="F114" t="s">
        <v>10</v>
      </c>
      <c r="G114" t="s">
        <v>177</v>
      </c>
    </row>
    <row r="115" spans="1:7" x14ac:dyDescent="0.25">
      <c r="A115" s="1">
        <v>46040</v>
      </c>
      <c r="B115" t="s">
        <v>619</v>
      </c>
      <c r="C115" t="s">
        <v>135</v>
      </c>
      <c r="D115">
        <v>1374.01</v>
      </c>
      <c r="E115" t="s">
        <v>16</v>
      </c>
      <c r="F115" t="s">
        <v>31</v>
      </c>
      <c r="G115" t="s">
        <v>177</v>
      </c>
    </row>
    <row r="116" spans="1:7" x14ac:dyDescent="0.25">
      <c r="A116" s="1">
        <v>46174</v>
      </c>
      <c r="B116" t="s">
        <v>620</v>
      </c>
      <c r="C116" t="s">
        <v>136</v>
      </c>
      <c r="D116">
        <v>870.67</v>
      </c>
      <c r="E116" t="s">
        <v>9</v>
      </c>
      <c r="F116" t="s">
        <v>35</v>
      </c>
      <c r="G116" t="s">
        <v>177</v>
      </c>
    </row>
    <row r="117" spans="1:7" x14ac:dyDescent="0.25">
      <c r="A117" s="1">
        <v>46104</v>
      </c>
      <c r="B117" t="s">
        <v>173</v>
      </c>
      <c r="C117" t="s">
        <v>137</v>
      </c>
      <c r="D117">
        <v>682.04</v>
      </c>
      <c r="E117" t="s">
        <v>25</v>
      </c>
      <c r="F117" t="s">
        <v>14</v>
      </c>
      <c r="G117" t="s">
        <v>177</v>
      </c>
    </row>
    <row r="118" spans="1:7" x14ac:dyDescent="0.25">
      <c r="A118" s="1">
        <v>46096</v>
      </c>
      <c r="B118" t="s">
        <v>617</v>
      </c>
      <c r="C118" t="s">
        <v>138</v>
      </c>
      <c r="D118">
        <v>635.71</v>
      </c>
      <c r="E118" t="s">
        <v>16</v>
      </c>
      <c r="F118" t="s">
        <v>19</v>
      </c>
      <c r="G118" t="s">
        <v>618</v>
      </c>
    </row>
    <row r="119" spans="1:7" x14ac:dyDescent="0.25">
      <c r="A119" s="1">
        <v>46122</v>
      </c>
      <c r="B119" t="s">
        <v>173</v>
      </c>
      <c r="C119" t="s">
        <v>139</v>
      </c>
      <c r="D119">
        <v>1307.6300000000001</v>
      </c>
      <c r="E119" t="s">
        <v>16</v>
      </c>
      <c r="F119" t="s">
        <v>35</v>
      </c>
      <c r="G119" t="s">
        <v>177</v>
      </c>
    </row>
    <row r="120" spans="1:7" x14ac:dyDescent="0.25">
      <c r="A120" s="1">
        <v>46204</v>
      </c>
      <c r="B120" t="s">
        <v>619</v>
      </c>
      <c r="C120" t="s">
        <v>140</v>
      </c>
      <c r="D120">
        <v>729.07</v>
      </c>
      <c r="E120" t="s">
        <v>9</v>
      </c>
      <c r="F120" t="s">
        <v>10</v>
      </c>
      <c r="G120" t="s">
        <v>177</v>
      </c>
    </row>
    <row r="121" spans="1:7" x14ac:dyDescent="0.25">
      <c r="A121" s="1">
        <v>46093</v>
      </c>
      <c r="B121" t="s">
        <v>620</v>
      </c>
      <c r="C121" t="s">
        <v>141</v>
      </c>
      <c r="D121">
        <v>972.3</v>
      </c>
      <c r="E121" t="s">
        <v>16</v>
      </c>
      <c r="F121" t="s">
        <v>14</v>
      </c>
      <c r="G121" t="s">
        <v>618</v>
      </c>
    </row>
    <row r="122" spans="1:7" x14ac:dyDescent="0.25">
      <c r="A122" s="1">
        <v>46176</v>
      </c>
      <c r="B122" t="s">
        <v>620</v>
      </c>
      <c r="C122" t="s">
        <v>142</v>
      </c>
      <c r="D122">
        <v>1366.89</v>
      </c>
      <c r="E122" t="s">
        <v>9</v>
      </c>
      <c r="F122" t="s">
        <v>14</v>
      </c>
      <c r="G122" t="s">
        <v>618</v>
      </c>
    </row>
    <row r="123" spans="1:7" x14ac:dyDescent="0.25">
      <c r="A123" s="1">
        <v>46066</v>
      </c>
      <c r="B123" t="s">
        <v>617</v>
      </c>
      <c r="C123" t="s">
        <v>143</v>
      </c>
      <c r="D123">
        <v>1061.48</v>
      </c>
      <c r="E123" t="s">
        <v>25</v>
      </c>
      <c r="F123" t="s">
        <v>19</v>
      </c>
      <c r="G123" t="s">
        <v>177</v>
      </c>
    </row>
    <row r="124" spans="1:7" x14ac:dyDescent="0.25">
      <c r="A124" s="1">
        <v>46237</v>
      </c>
      <c r="B124" t="s">
        <v>173</v>
      </c>
      <c r="C124" t="s">
        <v>144</v>
      </c>
      <c r="D124">
        <v>1265.68</v>
      </c>
      <c r="E124" t="s">
        <v>16</v>
      </c>
      <c r="F124" t="s">
        <v>31</v>
      </c>
      <c r="G124" t="s">
        <v>177</v>
      </c>
    </row>
    <row r="125" spans="1:7" x14ac:dyDescent="0.25">
      <c r="A125" s="1">
        <v>46133</v>
      </c>
      <c r="B125" t="s">
        <v>173</v>
      </c>
      <c r="C125" t="s">
        <v>145</v>
      </c>
      <c r="D125">
        <v>1482.26</v>
      </c>
      <c r="E125" t="s">
        <v>16</v>
      </c>
      <c r="F125" t="s">
        <v>19</v>
      </c>
      <c r="G125" t="s">
        <v>618</v>
      </c>
    </row>
    <row r="126" spans="1:7" x14ac:dyDescent="0.25">
      <c r="A126" s="1">
        <v>46063</v>
      </c>
      <c r="B126" t="s">
        <v>173</v>
      </c>
      <c r="C126" t="s">
        <v>146</v>
      </c>
      <c r="D126">
        <v>171.7</v>
      </c>
      <c r="E126" t="s">
        <v>25</v>
      </c>
      <c r="F126" t="s">
        <v>23</v>
      </c>
      <c r="G126" t="s">
        <v>618</v>
      </c>
    </row>
    <row r="127" spans="1:7" x14ac:dyDescent="0.25">
      <c r="A127" s="1">
        <v>46122</v>
      </c>
      <c r="B127" t="s">
        <v>617</v>
      </c>
      <c r="C127" t="s">
        <v>147</v>
      </c>
      <c r="D127">
        <v>888.94</v>
      </c>
      <c r="E127" t="s">
        <v>9</v>
      </c>
      <c r="F127" t="s">
        <v>19</v>
      </c>
      <c r="G127" t="s">
        <v>177</v>
      </c>
    </row>
    <row r="128" spans="1:7" x14ac:dyDescent="0.25">
      <c r="A128" s="1">
        <v>46053</v>
      </c>
      <c r="B128" t="s">
        <v>173</v>
      </c>
      <c r="C128" t="s">
        <v>148</v>
      </c>
      <c r="D128">
        <v>291.24</v>
      </c>
      <c r="E128" t="s">
        <v>16</v>
      </c>
      <c r="F128" t="s">
        <v>35</v>
      </c>
      <c r="G128" t="s">
        <v>618</v>
      </c>
    </row>
    <row r="129" spans="1:7" x14ac:dyDescent="0.25">
      <c r="A129" s="1">
        <v>46091</v>
      </c>
      <c r="B129" t="s">
        <v>617</v>
      </c>
      <c r="C129" t="s">
        <v>149</v>
      </c>
      <c r="D129">
        <v>738.04</v>
      </c>
      <c r="E129" t="s">
        <v>16</v>
      </c>
      <c r="F129" t="s">
        <v>19</v>
      </c>
      <c r="G129" t="s">
        <v>177</v>
      </c>
    </row>
    <row r="130" spans="1:7" x14ac:dyDescent="0.25">
      <c r="A130" s="1">
        <v>46108</v>
      </c>
      <c r="B130" t="s">
        <v>173</v>
      </c>
      <c r="C130" t="s">
        <v>150</v>
      </c>
      <c r="D130">
        <v>1362.68</v>
      </c>
      <c r="E130" t="s">
        <v>9</v>
      </c>
      <c r="F130" t="s">
        <v>10</v>
      </c>
      <c r="G130" t="s">
        <v>618</v>
      </c>
    </row>
    <row r="131" spans="1:7" x14ac:dyDescent="0.25">
      <c r="A131" s="1">
        <v>46138</v>
      </c>
      <c r="B131" t="s">
        <v>173</v>
      </c>
      <c r="C131" t="s">
        <v>151</v>
      </c>
      <c r="D131">
        <v>251</v>
      </c>
      <c r="E131" t="s">
        <v>25</v>
      </c>
      <c r="F131" t="s">
        <v>10</v>
      </c>
      <c r="G131" t="s">
        <v>177</v>
      </c>
    </row>
    <row r="132" spans="1:7" x14ac:dyDescent="0.25">
      <c r="A132" s="1">
        <v>46066</v>
      </c>
      <c r="B132" t="s">
        <v>617</v>
      </c>
      <c r="C132" t="s">
        <v>152</v>
      </c>
      <c r="D132">
        <v>881.22</v>
      </c>
      <c r="E132" t="s">
        <v>16</v>
      </c>
      <c r="F132" t="s">
        <v>35</v>
      </c>
      <c r="G132" t="s">
        <v>177</v>
      </c>
    </row>
    <row r="133" spans="1:7" x14ac:dyDescent="0.25">
      <c r="A133" s="1">
        <v>46040</v>
      </c>
      <c r="B133" t="s">
        <v>619</v>
      </c>
      <c r="C133" t="s">
        <v>153</v>
      </c>
      <c r="D133">
        <v>833.89</v>
      </c>
      <c r="E133" t="s">
        <v>9</v>
      </c>
      <c r="F133" t="s">
        <v>19</v>
      </c>
      <c r="G133" t="s">
        <v>177</v>
      </c>
    </row>
    <row r="134" spans="1:7" x14ac:dyDescent="0.25">
      <c r="A134" s="1">
        <v>46031</v>
      </c>
      <c r="B134" t="s">
        <v>617</v>
      </c>
      <c r="C134" t="s">
        <v>154</v>
      </c>
      <c r="D134">
        <v>693.36</v>
      </c>
      <c r="E134" t="s">
        <v>9</v>
      </c>
      <c r="F134" t="s">
        <v>10</v>
      </c>
      <c r="G134" t="s">
        <v>618</v>
      </c>
    </row>
    <row r="135" spans="1:7" x14ac:dyDescent="0.25">
      <c r="A135" s="1">
        <v>46129</v>
      </c>
      <c r="B135" t="s">
        <v>620</v>
      </c>
      <c r="C135" t="s">
        <v>155</v>
      </c>
      <c r="D135">
        <v>50</v>
      </c>
      <c r="E135" t="s">
        <v>16</v>
      </c>
      <c r="F135" t="s">
        <v>19</v>
      </c>
      <c r="G135" t="s">
        <v>618</v>
      </c>
    </row>
    <row r="136" spans="1:7" x14ac:dyDescent="0.25">
      <c r="A136" s="1">
        <v>46174</v>
      </c>
      <c r="B136" t="s">
        <v>173</v>
      </c>
      <c r="C136" t="s">
        <v>156</v>
      </c>
      <c r="D136">
        <v>329.63</v>
      </c>
      <c r="E136" t="s">
        <v>16</v>
      </c>
      <c r="F136" t="s">
        <v>19</v>
      </c>
      <c r="G136" t="s">
        <v>177</v>
      </c>
    </row>
    <row r="137" spans="1:7" x14ac:dyDescent="0.25">
      <c r="A137" s="1">
        <v>46068</v>
      </c>
      <c r="B137" t="s">
        <v>620</v>
      </c>
      <c r="C137" t="s">
        <v>157</v>
      </c>
      <c r="D137">
        <v>576.11</v>
      </c>
      <c r="E137" t="s">
        <v>9</v>
      </c>
      <c r="F137" t="s">
        <v>14</v>
      </c>
      <c r="G137" t="s">
        <v>177</v>
      </c>
    </row>
    <row r="138" spans="1:7" x14ac:dyDescent="0.25">
      <c r="A138" s="1">
        <v>46132</v>
      </c>
      <c r="B138" t="s">
        <v>617</v>
      </c>
      <c r="C138" t="s">
        <v>158</v>
      </c>
      <c r="D138">
        <v>337.7</v>
      </c>
      <c r="E138" t="s">
        <v>16</v>
      </c>
      <c r="F138" t="s">
        <v>14</v>
      </c>
      <c r="G138" t="s">
        <v>618</v>
      </c>
    </row>
    <row r="139" spans="1:7" x14ac:dyDescent="0.25">
      <c r="A139" s="1">
        <v>46111</v>
      </c>
      <c r="B139" t="s">
        <v>620</v>
      </c>
      <c r="C139" t="s">
        <v>159</v>
      </c>
      <c r="D139">
        <v>959.17</v>
      </c>
      <c r="E139" t="s">
        <v>25</v>
      </c>
      <c r="F139" t="s">
        <v>10</v>
      </c>
      <c r="G139" t="s">
        <v>177</v>
      </c>
    </row>
    <row r="140" spans="1:7" x14ac:dyDescent="0.25">
      <c r="A140" s="1">
        <v>46104</v>
      </c>
      <c r="B140" t="s">
        <v>173</v>
      </c>
      <c r="C140" t="s">
        <v>160</v>
      </c>
      <c r="D140">
        <v>1368.16</v>
      </c>
      <c r="E140" t="s">
        <v>9</v>
      </c>
      <c r="F140" t="s">
        <v>14</v>
      </c>
      <c r="G140" t="s">
        <v>177</v>
      </c>
    </row>
    <row r="141" spans="1:7" x14ac:dyDescent="0.25">
      <c r="A141" s="1">
        <v>46358</v>
      </c>
      <c r="B141" t="s">
        <v>620</v>
      </c>
      <c r="C141" t="s">
        <v>161</v>
      </c>
      <c r="D141">
        <v>1066.17</v>
      </c>
      <c r="E141" t="s">
        <v>25</v>
      </c>
      <c r="F141" t="s">
        <v>10</v>
      </c>
      <c r="G141" t="s">
        <v>177</v>
      </c>
    </row>
    <row r="142" spans="1:7" x14ac:dyDescent="0.25">
      <c r="A142" s="1">
        <v>46112</v>
      </c>
      <c r="B142" t="s">
        <v>173</v>
      </c>
      <c r="C142" t="s">
        <v>162</v>
      </c>
      <c r="D142">
        <v>1170.46</v>
      </c>
      <c r="E142" t="s">
        <v>9</v>
      </c>
      <c r="F142" t="s">
        <v>19</v>
      </c>
      <c r="G142" t="s">
        <v>177</v>
      </c>
    </row>
    <row r="143" spans="1:7" x14ac:dyDescent="0.25">
      <c r="A143" s="1">
        <v>46266</v>
      </c>
      <c r="B143" t="s">
        <v>173</v>
      </c>
      <c r="C143" t="s">
        <v>163</v>
      </c>
      <c r="D143">
        <v>1073.48</v>
      </c>
      <c r="E143" t="s">
        <v>9</v>
      </c>
      <c r="F143" t="s">
        <v>31</v>
      </c>
      <c r="G143" t="s">
        <v>618</v>
      </c>
    </row>
    <row r="144" spans="1:7" x14ac:dyDescent="0.25">
      <c r="A144" s="1">
        <v>46049</v>
      </c>
      <c r="B144" t="s">
        <v>173</v>
      </c>
      <c r="C144" t="s">
        <v>164</v>
      </c>
      <c r="D144">
        <v>249.53</v>
      </c>
      <c r="E144" t="s">
        <v>25</v>
      </c>
      <c r="F144" t="s">
        <v>10</v>
      </c>
      <c r="G144" t="s">
        <v>618</v>
      </c>
    </row>
    <row r="145" spans="1:7" x14ac:dyDescent="0.25">
      <c r="A145" s="1">
        <v>46091</v>
      </c>
      <c r="B145" t="s">
        <v>620</v>
      </c>
      <c r="C145" t="s">
        <v>165</v>
      </c>
      <c r="D145">
        <v>724.34</v>
      </c>
      <c r="E145" t="s">
        <v>16</v>
      </c>
      <c r="F145" t="s">
        <v>23</v>
      </c>
      <c r="G145" t="s">
        <v>618</v>
      </c>
    </row>
    <row r="146" spans="1:7" x14ac:dyDescent="0.25">
      <c r="A146" s="1">
        <v>46046</v>
      </c>
      <c r="B146" t="s">
        <v>173</v>
      </c>
      <c r="C146" t="s">
        <v>166</v>
      </c>
      <c r="D146">
        <v>374.51</v>
      </c>
      <c r="E146" t="s">
        <v>16</v>
      </c>
      <c r="F146" t="s">
        <v>10</v>
      </c>
      <c r="G146" t="s">
        <v>618</v>
      </c>
    </row>
    <row r="147" spans="1:7" x14ac:dyDescent="0.25">
      <c r="A147" s="1">
        <v>46104</v>
      </c>
      <c r="B147" t="s">
        <v>617</v>
      </c>
      <c r="C147" t="s">
        <v>167</v>
      </c>
      <c r="D147">
        <v>51.94</v>
      </c>
      <c r="E147" t="s">
        <v>9</v>
      </c>
      <c r="F147" t="s">
        <v>14</v>
      </c>
      <c r="G147" t="s">
        <v>618</v>
      </c>
    </row>
    <row r="148" spans="1:7" x14ac:dyDescent="0.25">
      <c r="A148" s="1">
        <v>46102</v>
      </c>
      <c r="B148" t="s">
        <v>173</v>
      </c>
      <c r="C148" t="s">
        <v>168</v>
      </c>
      <c r="D148">
        <v>535.73</v>
      </c>
      <c r="E148" t="s">
        <v>16</v>
      </c>
      <c r="F148" t="s">
        <v>14</v>
      </c>
      <c r="G148" t="s">
        <v>618</v>
      </c>
    </row>
    <row r="149" spans="1:7" x14ac:dyDescent="0.25">
      <c r="A149" s="1">
        <v>46098</v>
      </c>
      <c r="B149" t="s">
        <v>617</v>
      </c>
      <c r="C149" t="s">
        <v>169</v>
      </c>
      <c r="D149">
        <v>198.58</v>
      </c>
      <c r="E149" t="s">
        <v>9</v>
      </c>
      <c r="F149" t="s">
        <v>10</v>
      </c>
      <c r="G149" t="s">
        <v>618</v>
      </c>
    </row>
    <row r="150" spans="1:7" x14ac:dyDescent="0.25">
      <c r="A150" s="1">
        <v>46065</v>
      </c>
      <c r="B150" t="s">
        <v>617</v>
      </c>
      <c r="C150" t="s">
        <v>170</v>
      </c>
      <c r="D150">
        <v>473.08</v>
      </c>
      <c r="E150" t="s">
        <v>25</v>
      </c>
      <c r="F150" t="s">
        <v>19</v>
      </c>
      <c r="G150" t="s">
        <v>618</v>
      </c>
    </row>
    <row r="151" spans="1:7" x14ac:dyDescent="0.25">
      <c r="A151" s="1">
        <v>46042</v>
      </c>
      <c r="B151" t="s">
        <v>617</v>
      </c>
      <c r="C151" t="s">
        <v>171</v>
      </c>
      <c r="D151">
        <v>379.17</v>
      </c>
      <c r="E151" t="s">
        <v>16</v>
      </c>
      <c r="F151" t="s">
        <v>10</v>
      </c>
      <c r="G151" t="s">
        <v>618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workbookViewId="0">
      <selection activeCell="M22" sqref="M22"/>
    </sheetView>
  </sheetViews>
  <sheetFormatPr defaultRowHeight="15" x14ac:dyDescent="0.25"/>
  <cols>
    <col min="1" max="1" width="9" customWidth="1"/>
    <col min="2" max="2" width="11" customWidth="1"/>
    <col min="3" max="3" width="13.28515625" customWidth="1"/>
    <col min="4" max="4" width="11.5703125" customWidth="1"/>
    <col min="5" max="5" width="11" customWidth="1"/>
    <col min="6" max="6" width="9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172</v>
      </c>
      <c r="B2" t="s">
        <v>173</v>
      </c>
      <c r="C2" t="s">
        <v>174</v>
      </c>
      <c r="D2" t="s">
        <v>175</v>
      </c>
      <c r="E2" t="s">
        <v>9</v>
      </c>
      <c r="F2" t="s">
        <v>176</v>
      </c>
      <c r="G2" t="s">
        <v>177</v>
      </c>
    </row>
    <row r="3" spans="1:7" x14ac:dyDescent="0.25">
      <c r="A3" t="s">
        <v>178</v>
      </c>
      <c r="B3" t="s">
        <v>12</v>
      </c>
      <c r="C3" t="s">
        <v>179</v>
      </c>
      <c r="D3" t="s">
        <v>180</v>
      </c>
      <c r="E3" t="s">
        <v>9</v>
      </c>
      <c r="F3" t="s">
        <v>181</v>
      </c>
      <c r="G3" t="s">
        <v>177</v>
      </c>
    </row>
    <row r="4" spans="1:7" x14ac:dyDescent="0.25">
      <c r="A4" t="s">
        <v>182</v>
      </c>
      <c r="B4" t="s">
        <v>12</v>
      </c>
      <c r="C4" t="s">
        <v>183</v>
      </c>
      <c r="D4" t="s">
        <v>184</v>
      </c>
      <c r="E4" t="s">
        <v>16</v>
      </c>
      <c r="F4" t="s">
        <v>176</v>
      </c>
      <c r="G4" t="s">
        <v>17</v>
      </c>
    </row>
    <row r="5" spans="1:7" x14ac:dyDescent="0.25">
      <c r="A5" t="s">
        <v>185</v>
      </c>
      <c r="B5" t="s">
        <v>186</v>
      </c>
      <c r="C5" t="s">
        <v>187</v>
      </c>
      <c r="D5" t="s">
        <v>188</v>
      </c>
      <c r="E5" t="s">
        <v>16</v>
      </c>
      <c r="F5" t="s">
        <v>19</v>
      </c>
      <c r="G5" t="s">
        <v>17</v>
      </c>
    </row>
    <row r="6" spans="1:7" x14ac:dyDescent="0.25">
      <c r="A6" t="s">
        <v>189</v>
      </c>
      <c r="B6" t="s">
        <v>12</v>
      </c>
      <c r="C6" t="s">
        <v>190</v>
      </c>
      <c r="D6" t="s">
        <v>191</v>
      </c>
      <c r="E6" t="s">
        <v>9</v>
      </c>
      <c r="F6" t="s">
        <v>176</v>
      </c>
      <c r="G6" t="s">
        <v>11</v>
      </c>
    </row>
    <row r="7" spans="1:7" x14ac:dyDescent="0.25">
      <c r="A7" t="s">
        <v>192</v>
      </c>
      <c r="B7" t="s">
        <v>193</v>
      </c>
      <c r="C7" t="s">
        <v>194</v>
      </c>
      <c r="D7" t="s">
        <v>195</v>
      </c>
      <c r="E7" t="s">
        <v>9</v>
      </c>
      <c r="F7" t="s">
        <v>23</v>
      </c>
      <c r="G7" t="s">
        <v>177</v>
      </c>
    </row>
    <row r="8" spans="1:7" x14ac:dyDescent="0.25">
      <c r="A8" t="s">
        <v>196</v>
      </c>
      <c r="B8" t="s">
        <v>21</v>
      </c>
      <c r="C8" t="s">
        <v>197</v>
      </c>
      <c r="D8" t="s">
        <v>198</v>
      </c>
      <c r="E8" t="s">
        <v>25</v>
      </c>
      <c r="F8" t="s">
        <v>181</v>
      </c>
      <c r="G8" t="s">
        <v>11</v>
      </c>
    </row>
    <row r="9" spans="1:7" x14ac:dyDescent="0.25">
      <c r="A9" t="s">
        <v>199</v>
      </c>
      <c r="B9" t="s">
        <v>186</v>
      </c>
      <c r="C9" t="s">
        <v>200</v>
      </c>
      <c r="D9" t="s">
        <v>201</v>
      </c>
      <c r="E9" t="s">
        <v>25</v>
      </c>
      <c r="F9" t="s">
        <v>181</v>
      </c>
      <c r="G9" t="s">
        <v>202</v>
      </c>
    </row>
    <row r="10" spans="1:7" x14ac:dyDescent="0.25">
      <c r="A10" t="s">
        <v>203</v>
      </c>
      <c r="B10" t="s">
        <v>12</v>
      </c>
      <c r="C10" t="s">
        <v>204</v>
      </c>
      <c r="D10" t="s">
        <v>205</v>
      </c>
      <c r="E10" t="s">
        <v>9</v>
      </c>
      <c r="F10" t="s">
        <v>176</v>
      </c>
      <c r="G10" t="s">
        <v>202</v>
      </c>
    </row>
    <row r="11" spans="1:7" x14ac:dyDescent="0.25">
      <c r="A11" t="s">
        <v>206</v>
      </c>
      <c r="B11" t="s">
        <v>21</v>
      </c>
      <c r="C11" t="s">
        <v>207</v>
      </c>
      <c r="D11" t="s">
        <v>208</v>
      </c>
      <c r="E11" t="s">
        <v>9</v>
      </c>
      <c r="F11" t="s">
        <v>181</v>
      </c>
      <c r="G11" t="s">
        <v>177</v>
      </c>
    </row>
    <row r="12" spans="1:7" x14ac:dyDescent="0.25">
      <c r="A12" t="s">
        <v>209</v>
      </c>
      <c r="B12" t="s">
        <v>186</v>
      </c>
      <c r="C12" t="s">
        <v>210</v>
      </c>
      <c r="D12" t="s">
        <v>211</v>
      </c>
      <c r="E12" t="s">
        <v>16</v>
      </c>
      <c r="F12" t="s">
        <v>212</v>
      </c>
      <c r="G12" t="s">
        <v>11</v>
      </c>
    </row>
    <row r="13" spans="1:7" x14ac:dyDescent="0.25">
      <c r="A13" t="s">
        <v>213</v>
      </c>
      <c r="B13" t="s">
        <v>173</v>
      </c>
      <c r="C13" t="s">
        <v>214</v>
      </c>
      <c r="D13" t="s">
        <v>215</v>
      </c>
      <c r="E13" t="s">
        <v>25</v>
      </c>
      <c r="F13" t="s">
        <v>31</v>
      </c>
      <c r="G13" t="s">
        <v>177</v>
      </c>
    </row>
    <row r="14" spans="1:7" x14ac:dyDescent="0.25">
      <c r="A14" t="s">
        <v>216</v>
      </c>
      <c r="B14" t="s">
        <v>12</v>
      </c>
      <c r="C14" t="s">
        <v>217</v>
      </c>
      <c r="D14" t="s">
        <v>218</v>
      </c>
      <c r="E14" t="s">
        <v>16</v>
      </c>
      <c r="F14" t="s">
        <v>14</v>
      </c>
      <c r="G14" t="s">
        <v>11</v>
      </c>
    </row>
    <row r="15" spans="1:7" x14ac:dyDescent="0.25">
      <c r="A15" t="s">
        <v>219</v>
      </c>
      <c r="B15" t="s">
        <v>173</v>
      </c>
      <c r="C15" t="s">
        <v>220</v>
      </c>
      <c r="D15" t="s">
        <v>221</v>
      </c>
      <c r="E15" t="s">
        <v>25</v>
      </c>
      <c r="F15" t="s">
        <v>10</v>
      </c>
      <c r="G15" t="s">
        <v>17</v>
      </c>
    </row>
    <row r="16" spans="1:7" x14ac:dyDescent="0.25">
      <c r="A16" t="s">
        <v>222</v>
      </c>
      <c r="B16" t="s">
        <v>193</v>
      </c>
      <c r="C16" t="s">
        <v>223</v>
      </c>
      <c r="D16" t="s">
        <v>224</v>
      </c>
      <c r="E16" t="s">
        <v>16</v>
      </c>
      <c r="F16" t="s">
        <v>35</v>
      </c>
      <c r="G16" t="s">
        <v>11</v>
      </c>
    </row>
    <row r="17" spans="1:7" x14ac:dyDescent="0.25">
      <c r="A17" t="s">
        <v>225</v>
      </c>
      <c r="B17" t="s">
        <v>12</v>
      </c>
      <c r="C17" t="s">
        <v>226</v>
      </c>
      <c r="D17" t="s">
        <v>227</v>
      </c>
      <c r="E17" t="s">
        <v>25</v>
      </c>
      <c r="F17" t="s">
        <v>181</v>
      </c>
      <c r="G17" t="s">
        <v>11</v>
      </c>
    </row>
    <row r="18" spans="1:7" x14ac:dyDescent="0.25">
      <c r="A18" t="s">
        <v>228</v>
      </c>
      <c r="B18" t="s">
        <v>37</v>
      </c>
      <c r="C18" t="s">
        <v>229</v>
      </c>
      <c r="D18" t="s">
        <v>230</v>
      </c>
      <c r="E18" t="s">
        <v>9</v>
      </c>
      <c r="F18" t="s">
        <v>35</v>
      </c>
      <c r="G18" t="s">
        <v>17</v>
      </c>
    </row>
    <row r="19" spans="1:7" x14ac:dyDescent="0.25">
      <c r="A19" t="s">
        <v>231</v>
      </c>
      <c r="B19" t="s">
        <v>7</v>
      </c>
      <c r="C19" t="s">
        <v>232</v>
      </c>
      <c r="D19" t="s">
        <v>233</v>
      </c>
      <c r="E19" t="s">
        <v>9</v>
      </c>
      <c r="F19" t="s">
        <v>19</v>
      </c>
      <c r="G19" t="s">
        <v>177</v>
      </c>
    </row>
    <row r="20" spans="1:7" x14ac:dyDescent="0.25">
      <c r="A20" t="s">
        <v>234</v>
      </c>
      <c r="B20" t="s">
        <v>37</v>
      </c>
      <c r="C20" t="s">
        <v>235</v>
      </c>
      <c r="D20" t="s">
        <v>236</v>
      </c>
      <c r="E20" t="s">
        <v>9</v>
      </c>
      <c r="F20" t="s">
        <v>31</v>
      </c>
      <c r="G20" t="s">
        <v>11</v>
      </c>
    </row>
    <row r="21" spans="1:7" x14ac:dyDescent="0.25">
      <c r="A21" t="s">
        <v>237</v>
      </c>
      <c r="B21" t="s">
        <v>7</v>
      </c>
      <c r="C21" t="s">
        <v>238</v>
      </c>
      <c r="D21" t="s">
        <v>239</v>
      </c>
      <c r="E21" t="s">
        <v>16</v>
      </c>
      <c r="F21" t="s">
        <v>10</v>
      </c>
      <c r="G21" t="s">
        <v>17</v>
      </c>
    </row>
    <row r="22" spans="1:7" x14ac:dyDescent="0.25">
      <c r="A22" t="s">
        <v>240</v>
      </c>
      <c r="B22" t="s">
        <v>12</v>
      </c>
      <c r="C22" t="s">
        <v>241</v>
      </c>
      <c r="D22" t="s">
        <v>242</v>
      </c>
      <c r="E22" t="s">
        <v>25</v>
      </c>
      <c r="F22" t="s">
        <v>10</v>
      </c>
      <c r="G22" t="s">
        <v>11</v>
      </c>
    </row>
    <row r="23" spans="1:7" x14ac:dyDescent="0.25">
      <c r="A23" t="s">
        <v>243</v>
      </c>
      <c r="B23" t="s">
        <v>21</v>
      </c>
      <c r="C23" t="s">
        <v>244</v>
      </c>
      <c r="D23" t="s">
        <v>245</v>
      </c>
      <c r="E23" t="s">
        <v>9</v>
      </c>
      <c r="F23" t="s">
        <v>14</v>
      </c>
      <c r="G23" t="s">
        <v>177</v>
      </c>
    </row>
    <row r="24" spans="1:7" x14ac:dyDescent="0.25">
      <c r="A24" t="s">
        <v>246</v>
      </c>
      <c r="B24" t="s">
        <v>12</v>
      </c>
      <c r="C24" t="s">
        <v>247</v>
      </c>
      <c r="D24" t="s">
        <v>248</v>
      </c>
      <c r="E24" t="s">
        <v>16</v>
      </c>
      <c r="F24" t="s">
        <v>14</v>
      </c>
      <c r="G24" t="s">
        <v>17</v>
      </c>
    </row>
    <row r="25" spans="1:7" x14ac:dyDescent="0.25">
      <c r="A25" t="s">
        <v>249</v>
      </c>
      <c r="B25" t="s">
        <v>193</v>
      </c>
      <c r="C25" t="s">
        <v>250</v>
      </c>
      <c r="D25" t="s">
        <v>251</v>
      </c>
      <c r="E25" t="s">
        <v>9</v>
      </c>
      <c r="F25" t="s">
        <v>14</v>
      </c>
      <c r="G25" t="s">
        <v>11</v>
      </c>
    </row>
    <row r="26" spans="1:7" x14ac:dyDescent="0.25">
      <c r="A26" t="s">
        <v>252</v>
      </c>
      <c r="B26" t="s">
        <v>186</v>
      </c>
      <c r="C26" t="s">
        <v>253</v>
      </c>
      <c r="D26" t="s">
        <v>254</v>
      </c>
      <c r="E26" t="s">
        <v>9</v>
      </c>
      <c r="F26" t="s">
        <v>31</v>
      </c>
      <c r="G26" t="s">
        <v>17</v>
      </c>
    </row>
    <row r="27" spans="1:7" x14ac:dyDescent="0.25">
      <c r="A27" t="s">
        <v>255</v>
      </c>
      <c r="B27" t="s">
        <v>7</v>
      </c>
      <c r="C27" t="s">
        <v>256</v>
      </c>
      <c r="D27" t="s">
        <v>257</v>
      </c>
      <c r="E27" t="s">
        <v>16</v>
      </c>
      <c r="F27" t="s">
        <v>181</v>
      </c>
      <c r="G27" t="s">
        <v>11</v>
      </c>
    </row>
    <row r="28" spans="1:7" x14ac:dyDescent="0.25">
      <c r="A28" t="s">
        <v>258</v>
      </c>
      <c r="B28" t="s">
        <v>21</v>
      </c>
      <c r="C28" t="s">
        <v>259</v>
      </c>
      <c r="D28" t="s">
        <v>260</v>
      </c>
      <c r="E28" t="s">
        <v>25</v>
      </c>
      <c r="F28" t="s">
        <v>181</v>
      </c>
      <c r="G28" t="s">
        <v>17</v>
      </c>
    </row>
    <row r="29" spans="1:7" x14ac:dyDescent="0.25">
      <c r="A29" t="s">
        <v>261</v>
      </c>
      <c r="B29" t="s">
        <v>12</v>
      </c>
      <c r="C29" t="s">
        <v>262</v>
      </c>
      <c r="D29" t="s">
        <v>263</v>
      </c>
      <c r="E29" t="s">
        <v>9</v>
      </c>
      <c r="F29" t="s">
        <v>14</v>
      </c>
      <c r="G29" t="s">
        <v>17</v>
      </c>
    </row>
    <row r="30" spans="1:7" x14ac:dyDescent="0.25">
      <c r="A30" t="s">
        <v>264</v>
      </c>
      <c r="B30" t="s">
        <v>37</v>
      </c>
      <c r="C30" t="s">
        <v>265</v>
      </c>
      <c r="D30" t="s">
        <v>266</v>
      </c>
      <c r="E30" t="s">
        <v>16</v>
      </c>
      <c r="F30" t="s">
        <v>181</v>
      </c>
      <c r="G30" t="s">
        <v>202</v>
      </c>
    </row>
    <row r="31" spans="1:7" x14ac:dyDescent="0.25">
      <c r="A31" t="s">
        <v>267</v>
      </c>
      <c r="B31" t="s">
        <v>37</v>
      </c>
      <c r="C31" t="s">
        <v>268</v>
      </c>
      <c r="D31" t="s">
        <v>269</v>
      </c>
      <c r="E31" t="s">
        <v>9</v>
      </c>
      <c r="F31" t="s">
        <v>14</v>
      </c>
      <c r="G31" t="s">
        <v>17</v>
      </c>
    </row>
    <row r="32" spans="1:7" x14ac:dyDescent="0.25">
      <c r="A32" t="s">
        <v>270</v>
      </c>
      <c r="B32" t="s">
        <v>37</v>
      </c>
      <c r="C32" t="s">
        <v>271</v>
      </c>
      <c r="D32" t="s">
        <v>272</v>
      </c>
      <c r="E32" t="s">
        <v>9</v>
      </c>
      <c r="F32" t="s">
        <v>181</v>
      </c>
      <c r="G32" t="s">
        <v>177</v>
      </c>
    </row>
    <row r="33" spans="1:7" x14ac:dyDescent="0.25">
      <c r="A33" t="s">
        <v>270</v>
      </c>
      <c r="B33" t="s">
        <v>193</v>
      </c>
      <c r="C33" t="s">
        <v>273</v>
      </c>
      <c r="D33" t="s">
        <v>274</v>
      </c>
      <c r="E33" t="s">
        <v>25</v>
      </c>
      <c r="F33" t="s">
        <v>23</v>
      </c>
      <c r="G33" t="s">
        <v>202</v>
      </c>
    </row>
    <row r="34" spans="1:7" x14ac:dyDescent="0.25">
      <c r="A34" t="s">
        <v>275</v>
      </c>
      <c r="B34" t="s">
        <v>21</v>
      </c>
      <c r="C34" t="s">
        <v>276</v>
      </c>
      <c r="D34" t="s">
        <v>277</v>
      </c>
      <c r="E34" t="s">
        <v>25</v>
      </c>
      <c r="F34" t="s">
        <v>212</v>
      </c>
      <c r="G34" t="s">
        <v>177</v>
      </c>
    </row>
    <row r="35" spans="1:7" x14ac:dyDescent="0.25">
      <c r="A35" t="s">
        <v>278</v>
      </c>
      <c r="B35" t="s">
        <v>193</v>
      </c>
      <c r="C35" t="s">
        <v>279</v>
      </c>
      <c r="D35" t="s">
        <v>280</v>
      </c>
      <c r="E35" t="s">
        <v>25</v>
      </c>
      <c r="F35" t="s">
        <v>31</v>
      </c>
      <c r="G35" t="s">
        <v>11</v>
      </c>
    </row>
    <row r="36" spans="1:7" x14ac:dyDescent="0.25">
      <c r="A36" t="s">
        <v>281</v>
      </c>
      <c r="B36" t="s">
        <v>12</v>
      </c>
      <c r="C36" t="s">
        <v>282</v>
      </c>
      <c r="D36" t="s">
        <v>283</v>
      </c>
      <c r="E36" t="s">
        <v>9</v>
      </c>
      <c r="F36" t="s">
        <v>35</v>
      </c>
      <c r="G36" t="s">
        <v>177</v>
      </c>
    </row>
    <row r="37" spans="1:7" x14ac:dyDescent="0.25">
      <c r="A37" t="s">
        <v>284</v>
      </c>
      <c r="B37" t="s">
        <v>21</v>
      </c>
      <c r="C37" t="s">
        <v>285</v>
      </c>
      <c r="D37" t="s">
        <v>286</v>
      </c>
      <c r="E37" t="s">
        <v>25</v>
      </c>
      <c r="F37" t="s">
        <v>31</v>
      </c>
      <c r="G37" t="s">
        <v>202</v>
      </c>
    </row>
    <row r="38" spans="1:7" x14ac:dyDescent="0.25">
      <c r="A38" t="s">
        <v>287</v>
      </c>
      <c r="B38" t="s">
        <v>186</v>
      </c>
      <c r="C38" t="s">
        <v>288</v>
      </c>
      <c r="D38" t="s">
        <v>289</v>
      </c>
      <c r="E38" t="s">
        <v>9</v>
      </c>
      <c r="F38" t="s">
        <v>35</v>
      </c>
      <c r="G38" t="s">
        <v>11</v>
      </c>
    </row>
    <row r="39" spans="1:7" x14ac:dyDescent="0.25">
      <c r="A39" t="s">
        <v>290</v>
      </c>
      <c r="B39" t="s">
        <v>37</v>
      </c>
      <c r="C39" t="s">
        <v>291</v>
      </c>
      <c r="D39" t="s">
        <v>292</v>
      </c>
      <c r="E39" t="s">
        <v>16</v>
      </c>
      <c r="F39" t="s">
        <v>181</v>
      </c>
      <c r="G39" t="s">
        <v>17</v>
      </c>
    </row>
    <row r="40" spans="1:7" x14ac:dyDescent="0.25">
      <c r="A40" t="s">
        <v>293</v>
      </c>
      <c r="B40" t="s">
        <v>193</v>
      </c>
      <c r="C40" t="s">
        <v>294</v>
      </c>
      <c r="D40" t="s">
        <v>295</v>
      </c>
      <c r="E40" t="s">
        <v>25</v>
      </c>
      <c r="F40" t="s">
        <v>212</v>
      </c>
      <c r="G40" t="s">
        <v>202</v>
      </c>
    </row>
    <row r="41" spans="1:7" x14ac:dyDescent="0.25">
      <c r="A41" t="s">
        <v>296</v>
      </c>
      <c r="B41" t="s">
        <v>37</v>
      </c>
      <c r="C41" t="s">
        <v>297</v>
      </c>
      <c r="D41" t="s">
        <v>298</v>
      </c>
      <c r="E41" t="s">
        <v>25</v>
      </c>
      <c r="F41" t="s">
        <v>10</v>
      </c>
      <c r="G41" t="s">
        <v>177</v>
      </c>
    </row>
    <row r="42" spans="1:7" x14ac:dyDescent="0.25">
      <c r="A42" t="s">
        <v>299</v>
      </c>
      <c r="B42" t="s">
        <v>37</v>
      </c>
      <c r="C42" t="s">
        <v>300</v>
      </c>
      <c r="D42" t="s">
        <v>301</v>
      </c>
      <c r="E42" t="s">
        <v>25</v>
      </c>
      <c r="F42" t="s">
        <v>176</v>
      </c>
      <c r="G42" t="s">
        <v>177</v>
      </c>
    </row>
    <row r="43" spans="1:7" x14ac:dyDescent="0.25">
      <c r="A43" t="s">
        <v>302</v>
      </c>
      <c r="B43" t="s">
        <v>173</v>
      </c>
      <c r="C43" t="s">
        <v>303</v>
      </c>
      <c r="D43" t="s">
        <v>304</v>
      </c>
      <c r="E43" t="s">
        <v>9</v>
      </c>
      <c r="F43" t="s">
        <v>31</v>
      </c>
      <c r="G43" t="s">
        <v>11</v>
      </c>
    </row>
    <row r="44" spans="1:7" x14ac:dyDescent="0.25">
      <c r="A44" t="s">
        <v>305</v>
      </c>
      <c r="B44" t="s">
        <v>37</v>
      </c>
      <c r="C44" t="s">
        <v>306</v>
      </c>
      <c r="D44" t="s">
        <v>307</v>
      </c>
      <c r="E44" t="s">
        <v>16</v>
      </c>
      <c r="F44" t="s">
        <v>176</v>
      </c>
      <c r="G44" t="s">
        <v>177</v>
      </c>
    </row>
    <row r="45" spans="1:7" x14ac:dyDescent="0.25">
      <c r="A45" t="s">
        <v>308</v>
      </c>
      <c r="B45" t="s">
        <v>193</v>
      </c>
      <c r="C45" t="s">
        <v>309</v>
      </c>
      <c r="D45" t="s">
        <v>310</v>
      </c>
      <c r="E45" t="s">
        <v>9</v>
      </c>
      <c r="F45" t="s">
        <v>176</v>
      </c>
      <c r="G45" t="s">
        <v>17</v>
      </c>
    </row>
    <row r="46" spans="1:7" x14ac:dyDescent="0.25">
      <c r="A46" t="s">
        <v>311</v>
      </c>
      <c r="B46" t="s">
        <v>173</v>
      </c>
      <c r="C46" t="s">
        <v>312</v>
      </c>
      <c r="D46" t="s">
        <v>313</v>
      </c>
      <c r="E46" t="s">
        <v>16</v>
      </c>
      <c r="F46" t="s">
        <v>10</v>
      </c>
      <c r="G46" t="s">
        <v>17</v>
      </c>
    </row>
    <row r="47" spans="1:7" x14ac:dyDescent="0.25">
      <c r="A47" t="s">
        <v>314</v>
      </c>
      <c r="B47" t="s">
        <v>186</v>
      </c>
      <c r="C47" t="s">
        <v>315</v>
      </c>
      <c r="D47" t="s">
        <v>316</v>
      </c>
      <c r="E47" t="s">
        <v>9</v>
      </c>
      <c r="F47" t="s">
        <v>19</v>
      </c>
      <c r="G47" t="s">
        <v>177</v>
      </c>
    </row>
    <row r="48" spans="1:7" x14ac:dyDescent="0.25">
      <c r="A48" t="s">
        <v>317</v>
      </c>
      <c r="B48" t="s">
        <v>12</v>
      </c>
      <c r="C48" t="s">
        <v>318</v>
      </c>
      <c r="D48" t="s">
        <v>319</v>
      </c>
      <c r="E48" t="s">
        <v>25</v>
      </c>
      <c r="F48" t="s">
        <v>31</v>
      </c>
      <c r="G48" t="s">
        <v>11</v>
      </c>
    </row>
    <row r="49" spans="1:7" x14ac:dyDescent="0.25">
      <c r="A49" t="s">
        <v>320</v>
      </c>
      <c r="B49" t="s">
        <v>173</v>
      </c>
      <c r="C49" t="s">
        <v>321</v>
      </c>
      <c r="D49" t="s">
        <v>322</v>
      </c>
      <c r="E49" t="s">
        <v>9</v>
      </c>
      <c r="F49" t="s">
        <v>14</v>
      </c>
      <c r="G49" t="s">
        <v>17</v>
      </c>
    </row>
    <row r="50" spans="1:7" x14ac:dyDescent="0.25">
      <c r="A50" t="s">
        <v>323</v>
      </c>
      <c r="B50" t="s">
        <v>37</v>
      </c>
      <c r="C50" t="s">
        <v>324</v>
      </c>
      <c r="D50" t="s">
        <v>325</v>
      </c>
      <c r="E50" t="s">
        <v>9</v>
      </c>
      <c r="F50" t="s">
        <v>181</v>
      </c>
      <c r="G50" t="s">
        <v>202</v>
      </c>
    </row>
    <row r="51" spans="1:7" x14ac:dyDescent="0.25">
      <c r="A51" t="s">
        <v>326</v>
      </c>
      <c r="B51" t="s">
        <v>193</v>
      </c>
      <c r="C51" t="s">
        <v>327</v>
      </c>
      <c r="D51" t="s">
        <v>328</v>
      </c>
      <c r="E51" t="s">
        <v>16</v>
      </c>
      <c r="F51" t="s">
        <v>35</v>
      </c>
      <c r="G51" t="s">
        <v>202</v>
      </c>
    </row>
    <row r="52" spans="1:7" x14ac:dyDescent="0.25">
      <c r="A52" t="s">
        <v>329</v>
      </c>
      <c r="B52" t="s">
        <v>173</v>
      </c>
      <c r="C52" t="s">
        <v>330</v>
      </c>
      <c r="D52" t="s">
        <v>331</v>
      </c>
      <c r="E52" t="s">
        <v>9</v>
      </c>
      <c r="F52" t="s">
        <v>23</v>
      </c>
      <c r="G52" t="s">
        <v>202</v>
      </c>
    </row>
    <row r="53" spans="1:7" x14ac:dyDescent="0.25">
      <c r="A53" t="s">
        <v>332</v>
      </c>
      <c r="B53" t="s">
        <v>7</v>
      </c>
      <c r="C53" t="s">
        <v>333</v>
      </c>
      <c r="D53" t="s">
        <v>334</v>
      </c>
      <c r="E53" t="s">
        <v>9</v>
      </c>
      <c r="F53" t="s">
        <v>14</v>
      </c>
      <c r="G53" t="s">
        <v>17</v>
      </c>
    </row>
    <row r="54" spans="1:7" x14ac:dyDescent="0.25">
      <c r="A54" t="s">
        <v>335</v>
      </c>
      <c r="B54" t="s">
        <v>12</v>
      </c>
      <c r="C54" t="s">
        <v>336</v>
      </c>
      <c r="D54" t="s">
        <v>337</v>
      </c>
      <c r="E54" t="s">
        <v>16</v>
      </c>
      <c r="F54" t="s">
        <v>19</v>
      </c>
      <c r="G54" t="s">
        <v>202</v>
      </c>
    </row>
    <row r="55" spans="1:7" x14ac:dyDescent="0.25">
      <c r="A55" t="s">
        <v>338</v>
      </c>
      <c r="B55" t="s">
        <v>186</v>
      </c>
      <c r="C55" t="s">
        <v>339</v>
      </c>
      <c r="D55" t="s">
        <v>340</v>
      </c>
      <c r="E55" t="s">
        <v>25</v>
      </c>
      <c r="F55" t="s">
        <v>181</v>
      </c>
      <c r="G55" t="s">
        <v>11</v>
      </c>
    </row>
    <row r="56" spans="1:7" x14ac:dyDescent="0.25">
      <c r="A56" t="s">
        <v>341</v>
      </c>
      <c r="B56" t="s">
        <v>37</v>
      </c>
      <c r="C56" t="s">
        <v>342</v>
      </c>
      <c r="D56" t="s">
        <v>343</v>
      </c>
      <c r="E56" t="s">
        <v>25</v>
      </c>
      <c r="F56" t="s">
        <v>181</v>
      </c>
      <c r="G56" t="s">
        <v>177</v>
      </c>
    </row>
    <row r="57" spans="1:7" x14ac:dyDescent="0.25">
      <c r="A57" t="s">
        <v>344</v>
      </c>
      <c r="B57" t="s">
        <v>186</v>
      </c>
      <c r="C57" t="s">
        <v>345</v>
      </c>
      <c r="D57" t="s">
        <v>346</v>
      </c>
      <c r="E57" t="s">
        <v>9</v>
      </c>
      <c r="F57" t="s">
        <v>35</v>
      </c>
      <c r="G57" t="s">
        <v>11</v>
      </c>
    </row>
    <row r="58" spans="1:7" x14ac:dyDescent="0.25">
      <c r="A58" t="s">
        <v>347</v>
      </c>
      <c r="B58" t="s">
        <v>12</v>
      </c>
      <c r="C58" t="s">
        <v>348</v>
      </c>
      <c r="D58" t="s">
        <v>349</v>
      </c>
      <c r="E58" t="s">
        <v>25</v>
      </c>
      <c r="F58" t="s">
        <v>19</v>
      </c>
      <c r="G58" t="s">
        <v>11</v>
      </c>
    </row>
    <row r="59" spans="1:7" x14ac:dyDescent="0.25">
      <c r="A59" t="s">
        <v>350</v>
      </c>
      <c r="B59" t="s">
        <v>21</v>
      </c>
      <c r="C59" t="s">
        <v>351</v>
      </c>
      <c r="D59" t="s">
        <v>352</v>
      </c>
      <c r="E59" t="s">
        <v>25</v>
      </c>
      <c r="F59" t="s">
        <v>19</v>
      </c>
      <c r="G59" t="s">
        <v>202</v>
      </c>
    </row>
    <row r="60" spans="1:7" x14ac:dyDescent="0.25">
      <c r="A60" t="s">
        <v>353</v>
      </c>
      <c r="B60" t="s">
        <v>37</v>
      </c>
      <c r="C60" t="s">
        <v>354</v>
      </c>
      <c r="D60" t="s">
        <v>355</v>
      </c>
      <c r="E60" t="s">
        <v>16</v>
      </c>
      <c r="F60" t="s">
        <v>31</v>
      </c>
      <c r="G60" t="s">
        <v>202</v>
      </c>
    </row>
    <row r="61" spans="1:7" x14ac:dyDescent="0.25">
      <c r="A61" t="s">
        <v>356</v>
      </c>
      <c r="B61" t="s">
        <v>173</v>
      </c>
      <c r="C61" t="s">
        <v>357</v>
      </c>
      <c r="D61" t="s">
        <v>358</v>
      </c>
      <c r="E61" t="s">
        <v>16</v>
      </c>
      <c r="F61" t="s">
        <v>10</v>
      </c>
      <c r="G61" t="s">
        <v>202</v>
      </c>
    </row>
    <row r="62" spans="1:7" x14ac:dyDescent="0.25">
      <c r="A62" t="s">
        <v>359</v>
      </c>
      <c r="B62" t="s">
        <v>21</v>
      </c>
      <c r="C62" t="s">
        <v>360</v>
      </c>
      <c r="D62" t="s">
        <v>361</v>
      </c>
      <c r="E62" t="s">
        <v>16</v>
      </c>
      <c r="F62" t="s">
        <v>35</v>
      </c>
      <c r="G62" t="s">
        <v>11</v>
      </c>
    </row>
    <row r="63" spans="1:7" x14ac:dyDescent="0.25">
      <c r="A63" t="s">
        <v>189</v>
      </c>
      <c r="B63" t="s">
        <v>193</v>
      </c>
      <c r="C63" t="s">
        <v>362</v>
      </c>
      <c r="D63" t="s">
        <v>363</v>
      </c>
      <c r="E63" t="s">
        <v>16</v>
      </c>
      <c r="F63" t="s">
        <v>35</v>
      </c>
      <c r="G63" t="s">
        <v>11</v>
      </c>
    </row>
    <row r="64" spans="1:7" x14ac:dyDescent="0.25">
      <c r="A64" t="s">
        <v>364</v>
      </c>
      <c r="B64" t="s">
        <v>193</v>
      </c>
      <c r="C64" t="s">
        <v>365</v>
      </c>
      <c r="D64" t="s">
        <v>366</v>
      </c>
      <c r="E64" t="s">
        <v>25</v>
      </c>
      <c r="F64" t="s">
        <v>19</v>
      </c>
      <c r="G64" t="s">
        <v>11</v>
      </c>
    </row>
    <row r="65" spans="1:7" x14ac:dyDescent="0.25">
      <c r="A65" t="s">
        <v>367</v>
      </c>
      <c r="B65" t="s">
        <v>186</v>
      </c>
      <c r="C65" t="s">
        <v>368</v>
      </c>
      <c r="D65" t="s">
        <v>369</v>
      </c>
      <c r="E65" t="s">
        <v>16</v>
      </c>
      <c r="F65" t="s">
        <v>14</v>
      </c>
      <c r="G65" t="s">
        <v>17</v>
      </c>
    </row>
    <row r="66" spans="1:7" x14ac:dyDescent="0.25">
      <c r="A66" t="s">
        <v>370</v>
      </c>
      <c r="B66" t="s">
        <v>12</v>
      </c>
      <c r="C66" t="s">
        <v>371</v>
      </c>
      <c r="D66" t="s">
        <v>372</v>
      </c>
      <c r="E66" t="s">
        <v>9</v>
      </c>
      <c r="F66" t="s">
        <v>10</v>
      </c>
      <c r="G66" t="s">
        <v>177</v>
      </c>
    </row>
    <row r="67" spans="1:7" x14ac:dyDescent="0.25">
      <c r="A67" t="s">
        <v>373</v>
      </c>
      <c r="B67" t="s">
        <v>7</v>
      </c>
      <c r="C67" t="s">
        <v>374</v>
      </c>
      <c r="D67" t="s">
        <v>375</v>
      </c>
      <c r="E67" t="s">
        <v>16</v>
      </c>
      <c r="F67" t="s">
        <v>212</v>
      </c>
      <c r="G67" t="s">
        <v>177</v>
      </c>
    </row>
    <row r="68" spans="1:7" x14ac:dyDescent="0.25">
      <c r="A68" t="s">
        <v>376</v>
      </c>
      <c r="B68" t="s">
        <v>7</v>
      </c>
      <c r="C68" t="s">
        <v>377</v>
      </c>
      <c r="D68" t="s">
        <v>378</v>
      </c>
      <c r="E68" t="s">
        <v>25</v>
      </c>
      <c r="F68" t="s">
        <v>10</v>
      </c>
      <c r="G68" t="s">
        <v>202</v>
      </c>
    </row>
    <row r="69" spans="1:7" x14ac:dyDescent="0.25">
      <c r="A69" t="s">
        <v>379</v>
      </c>
      <c r="B69" t="s">
        <v>173</v>
      </c>
      <c r="C69" t="s">
        <v>380</v>
      </c>
      <c r="D69" t="s">
        <v>381</v>
      </c>
      <c r="E69" t="s">
        <v>9</v>
      </c>
      <c r="F69" t="s">
        <v>176</v>
      </c>
      <c r="G69" t="s">
        <v>202</v>
      </c>
    </row>
    <row r="70" spans="1:7" x14ac:dyDescent="0.25">
      <c r="A70" t="s">
        <v>382</v>
      </c>
      <c r="B70" t="s">
        <v>173</v>
      </c>
      <c r="C70" t="s">
        <v>383</v>
      </c>
      <c r="D70" t="s">
        <v>384</v>
      </c>
      <c r="E70" t="s">
        <v>16</v>
      </c>
      <c r="F70" t="s">
        <v>19</v>
      </c>
      <c r="G70" t="s">
        <v>17</v>
      </c>
    </row>
    <row r="71" spans="1:7" x14ac:dyDescent="0.25">
      <c r="A71" t="s">
        <v>385</v>
      </c>
      <c r="B71" t="s">
        <v>21</v>
      </c>
      <c r="C71" t="s">
        <v>386</v>
      </c>
      <c r="D71" t="s">
        <v>387</v>
      </c>
      <c r="E71" t="s">
        <v>9</v>
      </c>
      <c r="F71" t="s">
        <v>10</v>
      </c>
      <c r="G71" t="s">
        <v>177</v>
      </c>
    </row>
    <row r="72" spans="1:7" x14ac:dyDescent="0.25">
      <c r="A72" t="s">
        <v>388</v>
      </c>
      <c r="B72" t="s">
        <v>173</v>
      </c>
      <c r="C72" t="s">
        <v>389</v>
      </c>
      <c r="D72" t="s">
        <v>390</v>
      </c>
      <c r="E72" t="s">
        <v>9</v>
      </c>
      <c r="F72" t="s">
        <v>10</v>
      </c>
      <c r="G72" t="s">
        <v>202</v>
      </c>
    </row>
    <row r="73" spans="1:7" x14ac:dyDescent="0.25">
      <c r="A73" t="s">
        <v>391</v>
      </c>
      <c r="B73" t="s">
        <v>7</v>
      </c>
      <c r="C73" t="s">
        <v>392</v>
      </c>
      <c r="D73" t="s">
        <v>393</v>
      </c>
      <c r="E73" t="s">
        <v>9</v>
      </c>
      <c r="F73" t="s">
        <v>35</v>
      </c>
      <c r="G73" t="s">
        <v>11</v>
      </c>
    </row>
    <row r="74" spans="1:7" x14ac:dyDescent="0.25">
      <c r="A74" t="s">
        <v>394</v>
      </c>
      <c r="B74" t="s">
        <v>12</v>
      </c>
      <c r="C74" t="s">
        <v>395</v>
      </c>
      <c r="D74" t="s">
        <v>396</v>
      </c>
      <c r="E74" t="s">
        <v>9</v>
      </c>
      <c r="F74" t="s">
        <v>35</v>
      </c>
      <c r="G74" t="s">
        <v>177</v>
      </c>
    </row>
    <row r="75" spans="1:7" x14ac:dyDescent="0.25">
      <c r="A75" t="s">
        <v>397</v>
      </c>
      <c r="B75" t="s">
        <v>193</v>
      </c>
      <c r="C75" t="s">
        <v>398</v>
      </c>
      <c r="D75" t="s">
        <v>399</v>
      </c>
      <c r="E75" t="s">
        <v>9</v>
      </c>
      <c r="F75" t="s">
        <v>212</v>
      </c>
      <c r="G75" t="s">
        <v>11</v>
      </c>
    </row>
    <row r="76" spans="1:7" x14ac:dyDescent="0.25">
      <c r="A76" t="s">
        <v>400</v>
      </c>
      <c r="B76" t="s">
        <v>21</v>
      </c>
      <c r="C76" t="s">
        <v>401</v>
      </c>
      <c r="D76" t="s">
        <v>402</v>
      </c>
      <c r="E76" t="s">
        <v>9</v>
      </c>
      <c r="F76" t="s">
        <v>19</v>
      </c>
      <c r="G76" t="s">
        <v>202</v>
      </c>
    </row>
    <row r="77" spans="1:7" x14ac:dyDescent="0.25">
      <c r="A77" t="s">
        <v>403</v>
      </c>
      <c r="B77" t="s">
        <v>186</v>
      </c>
      <c r="C77" t="s">
        <v>404</v>
      </c>
      <c r="D77" t="s">
        <v>405</v>
      </c>
      <c r="E77" t="s">
        <v>9</v>
      </c>
      <c r="F77" t="s">
        <v>23</v>
      </c>
      <c r="G77" t="s">
        <v>202</v>
      </c>
    </row>
    <row r="78" spans="1:7" x14ac:dyDescent="0.25">
      <c r="A78" t="s">
        <v>406</v>
      </c>
      <c r="B78" t="s">
        <v>7</v>
      </c>
      <c r="C78" t="s">
        <v>407</v>
      </c>
      <c r="D78" t="s">
        <v>408</v>
      </c>
      <c r="E78" t="s">
        <v>25</v>
      </c>
      <c r="F78" t="s">
        <v>14</v>
      </c>
      <c r="G78" t="s">
        <v>177</v>
      </c>
    </row>
    <row r="79" spans="1:7" x14ac:dyDescent="0.25">
      <c r="A79" t="s">
        <v>206</v>
      </c>
      <c r="B79" t="s">
        <v>7</v>
      </c>
      <c r="C79" t="s">
        <v>409</v>
      </c>
      <c r="D79" t="s">
        <v>410</v>
      </c>
      <c r="E79" t="s">
        <v>9</v>
      </c>
      <c r="F79" t="s">
        <v>10</v>
      </c>
      <c r="G79" t="s">
        <v>17</v>
      </c>
    </row>
    <row r="80" spans="1:7" x14ac:dyDescent="0.25">
      <c r="A80" t="s">
        <v>411</v>
      </c>
      <c r="B80" t="s">
        <v>173</v>
      </c>
      <c r="C80" t="s">
        <v>412</v>
      </c>
      <c r="D80" t="s">
        <v>413</v>
      </c>
      <c r="E80" t="s">
        <v>25</v>
      </c>
      <c r="F80" t="s">
        <v>23</v>
      </c>
      <c r="G80" t="s">
        <v>202</v>
      </c>
    </row>
    <row r="81" spans="1:7" x14ac:dyDescent="0.25">
      <c r="A81" t="s">
        <v>414</v>
      </c>
      <c r="B81" t="s">
        <v>21</v>
      </c>
      <c r="C81" t="s">
        <v>415</v>
      </c>
      <c r="D81" t="s">
        <v>416</v>
      </c>
      <c r="E81" t="s">
        <v>9</v>
      </c>
      <c r="F81" t="s">
        <v>19</v>
      </c>
      <c r="G81" t="s">
        <v>17</v>
      </c>
    </row>
    <row r="82" spans="1:7" x14ac:dyDescent="0.25">
      <c r="A82" t="s">
        <v>417</v>
      </c>
      <c r="B82" t="s">
        <v>7</v>
      </c>
      <c r="C82" t="s">
        <v>418</v>
      </c>
      <c r="D82" t="s">
        <v>419</v>
      </c>
      <c r="E82" t="s">
        <v>9</v>
      </c>
      <c r="F82" t="s">
        <v>181</v>
      </c>
      <c r="G82" t="s">
        <v>11</v>
      </c>
    </row>
    <row r="83" spans="1:7" x14ac:dyDescent="0.25">
      <c r="A83" t="s">
        <v>420</v>
      </c>
      <c r="B83" t="s">
        <v>7</v>
      </c>
      <c r="C83" t="s">
        <v>421</v>
      </c>
      <c r="D83" t="s">
        <v>422</v>
      </c>
      <c r="E83" t="s">
        <v>25</v>
      </c>
      <c r="F83" t="s">
        <v>10</v>
      </c>
      <c r="G83" t="s">
        <v>11</v>
      </c>
    </row>
    <row r="84" spans="1:7" x14ac:dyDescent="0.25">
      <c r="A84" t="s">
        <v>423</v>
      </c>
      <c r="B84" t="s">
        <v>186</v>
      </c>
      <c r="C84" t="s">
        <v>424</v>
      </c>
      <c r="D84" t="s">
        <v>425</v>
      </c>
      <c r="E84" t="s">
        <v>25</v>
      </c>
      <c r="F84" t="s">
        <v>10</v>
      </c>
      <c r="G84" t="s">
        <v>17</v>
      </c>
    </row>
    <row r="85" spans="1:7" x14ac:dyDescent="0.25">
      <c r="A85" t="s">
        <v>426</v>
      </c>
      <c r="B85" t="s">
        <v>12</v>
      </c>
      <c r="C85" t="s">
        <v>427</v>
      </c>
      <c r="D85" t="s">
        <v>428</v>
      </c>
      <c r="E85" t="s">
        <v>9</v>
      </c>
      <c r="F85" t="s">
        <v>31</v>
      </c>
      <c r="G85" t="s">
        <v>17</v>
      </c>
    </row>
    <row r="86" spans="1:7" x14ac:dyDescent="0.25">
      <c r="A86" t="s">
        <v>429</v>
      </c>
      <c r="B86" t="s">
        <v>193</v>
      </c>
      <c r="C86" t="s">
        <v>430</v>
      </c>
      <c r="D86" t="s">
        <v>431</v>
      </c>
      <c r="E86" t="s">
        <v>9</v>
      </c>
      <c r="F86" t="s">
        <v>19</v>
      </c>
      <c r="G86" t="s">
        <v>17</v>
      </c>
    </row>
    <row r="87" spans="1:7" x14ac:dyDescent="0.25">
      <c r="A87" t="s">
        <v>432</v>
      </c>
      <c r="B87" t="s">
        <v>186</v>
      </c>
      <c r="C87" t="s">
        <v>433</v>
      </c>
      <c r="D87" t="s">
        <v>434</v>
      </c>
      <c r="E87" t="s">
        <v>25</v>
      </c>
      <c r="F87" t="s">
        <v>212</v>
      </c>
      <c r="G87" t="s">
        <v>17</v>
      </c>
    </row>
    <row r="88" spans="1:7" x14ac:dyDescent="0.25">
      <c r="A88" t="s">
        <v>435</v>
      </c>
      <c r="B88" t="s">
        <v>173</v>
      </c>
      <c r="C88" t="s">
        <v>436</v>
      </c>
      <c r="D88" t="s">
        <v>437</v>
      </c>
      <c r="E88" t="s">
        <v>25</v>
      </c>
      <c r="F88" t="s">
        <v>23</v>
      </c>
      <c r="G88" t="s">
        <v>17</v>
      </c>
    </row>
    <row r="89" spans="1:7" x14ac:dyDescent="0.25">
      <c r="A89" t="s">
        <v>438</v>
      </c>
      <c r="B89" t="s">
        <v>173</v>
      </c>
      <c r="C89" t="s">
        <v>439</v>
      </c>
      <c r="D89" t="s">
        <v>440</v>
      </c>
      <c r="E89" t="s">
        <v>25</v>
      </c>
      <c r="F89" t="s">
        <v>212</v>
      </c>
      <c r="G89" t="s">
        <v>11</v>
      </c>
    </row>
    <row r="90" spans="1:7" x14ac:dyDescent="0.25">
      <c r="A90" t="s">
        <v>441</v>
      </c>
      <c r="B90" t="s">
        <v>7</v>
      </c>
      <c r="C90" t="s">
        <v>442</v>
      </c>
      <c r="D90" t="s">
        <v>443</v>
      </c>
      <c r="E90" t="s">
        <v>25</v>
      </c>
      <c r="F90" t="s">
        <v>212</v>
      </c>
      <c r="G90" t="s">
        <v>11</v>
      </c>
    </row>
    <row r="91" spans="1:7" x14ac:dyDescent="0.25">
      <c r="A91" t="s">
        <v>444</v>
      </c>
      <c r="B91" t="s">
        <v>21</v>
      </c>
      <c r="C91" t="s">
        <v>445</v>
      </c>
      <c r="D91" t="s">
        <v>446</v>
      </c>
      <c r="E91" t="s">
        <v>9</v>
      </c>
      <c r="F91" t="s">
        <v>181</v>
      </c>
      <c r="G91" t="s">
        <v>202</v>
      </c>
    </row>
    <row r="92" spans="1:7" x14ac:dyDescent="0.25">
      <c r="A92" t="s">
        <v>447</v>
      </c>
      <c r="B92" t="s">
        <v>186</v>
      </c>
      <c r="C92" t="s">
        <v>448</v>
      </c>
      <c r="D92" t="s">
        <v>449</v>
      </c>
      <c r="E92" t="s">
        <v>25</v>
      </c>
      <c r="F92" t="s">
        <v>35</v>
      </c>
      <c r="G92" t="s">
        <v>177</v>
      </c>
    </row>
    <row r="93" spans="1:7" x14ac:dyDescent="0.25">
      <c r="A93" t="s">
        <v>450</v>
      </c>
      <c r="B93" t="s">
        <v>37</v>
      </c>
      <c r="C93" t="s">
        <v>451</v>
      </c>
      <c r="D93" t="s">
        <v>452</v>
      </c>
      <c r="E93" t="s">
        <v>25</v>
      </c>
      <c r="F93" t="s">
        <v>212</v>
      </c>
      <c r="G93" t="s">
        <v>11</v>
      </c>
    </row>
    <row r="94" spans="1:7" x14ac:dyDescent="0.25">
      <c r="A94" t="s">
        <v>453</v>
      </c>
      <c r="B94" t="s">
        <v>37</v>
      </c>
      <c r="C94" t="s">
        <v>454</v>
      </c>
      <c r="D94" t="s">
        <v>455</v>
      </c>
      <c r="E94" t="s">
        <v>25</v>
      </c>
      <c r="F94" t="s">
        <v>19</v>
      </c>
      <c r="G94" t="s">
        <v>11</v>
      </c>
    </row>
    <row r="95" spans="1:7" x14ac:dyDescent="0.25">
      <c r="A95" t="s">
        <v>456</v>
      </c>
      <c r="B95" t="s">
        <v>193</v>
      </c>
      <c r="C95" t="s">
        <v>457</v>
      </c>
      <c r="D95" t="s">
        <v>458</v>
      </c>
      <c r="E95" t="s">
        <v>16</v>
      </c>
      <c r="F95" t="s">
        <v>176</v>
      </c>
      <c r="G95" t="s">
        <v>11</v>
      </c>
    </row>
    <row r="96" spans="1:7" x14ac:dyDescent="0.25">
      <c r="A96" t="s">
        <v>459</v>
      </c>
      <c r="B96" t="s">
        <v>186</v>
      </c>
      <c r="C96" t="s">
        <v>460</v>
      </c>
      <c r="D96" t="s">
        <v>461</v>
      </c>
      <c r="E96" t="s">
        <v>9</v>
      </c>
      <c r="F96" t="s">
        <v>14</v>
      </c>
      <c r="G96" t="s">
        <v>11</v>
      </c>
    </row>
    <row r="97" spans="1:7" x14ac:dyDescent="0.25">
      <c r="A97" t="s">
        <v>462</v>
      </c>
      <c r="B97" t="s">
        <v>21</v>
      </c>
      <c r="C97" t="s">
        <v>463</v>
      </c>
      <c r="D97" t="s">
        <v>464</v>
      </c>
      <c r="E97" t="s">
        <v>16</v>
      </c>
      <c r="F97" t="s">
        <v>14</v>
      </c>
      <c r="G97" t="s">
        <v>177</v>
      </c>
    </row>
    <row r="98" spans="1:7" x14ac:dyDescent="0.25">
      <c r="A98" t="s">
        <v>465</v>
      </c>
      <c r="B98" t="s">
        <v>173</v>
      </c>
      <c r="C98" t="s">
        <v>466</v>
      </c>
      <c r="D98" t="s">
        <v>467</v>
      </c>
      <c r="E98" t="s">
        <v>9</v>
      </c>
      <c r="F98" t="s">
        <v>31</v>
      </c>
      <c r="G98" t="s">
        <v>177</v>
      </c>
    </row>
    <row r="99" spans="1:7" x14ac:dyDescent="0.25">
      <c r="A99" t="s">
        <v>468</v>
      </c>
      <c r="B99" t="s">
        <v>12</v>
      </c>
      <c r="C99" t="s">
        <v>469</v>
      </c>
      <c r="D99" t="s">
        <v>470</v>
      </c>
      <c r="E99" t="s">
        <v>16</v>
      </c>
      <c r="F99" t="s">
        <v>23</v>
      </c>
      <c r="G99" t="s">
        <v>17</v>
      </c>
    </row>
    <row r="100" spans="1:7" x14ac:dyDescent="0.25">
      <c r="A100" t="s">
        <v>471</v>
      </c>
      <c r="B100" t="s">
        <v>21</v>
      </c>
      <c r="C100" t="s">
        <v>472</v>
      </c>
      <c r="D100" t="s">
        <v>473</v>
      </c>
      <c r="E100" t="s">
        <v>25</v>
      </c>
      <c r="F100" t="s">
        <v>181</v>
      </c>
      <c r="G100" t="s">
        <v>177</v>
      </c>
    </row>
    <row r="101" spans="1:7" x14ac:dyDescent="0.25">
      <c r="A101" t="s">
        <v>474</v>
      </c>
      <c r="B101" t="s">
        <v>173</v>
      </c>
      <c r="C101" t="s">
        <v>475</v>
      </c>
      <c r="D101" t="s">
        <v>476</v>
      </c>
      <c r="E101" t="s">
        <v>9</v>
      </c>
      <c r="F101" t="s">
        <v>10</v>
      </c>
      <c r="G101" t="s">
        <v>11</v>
      </c>
    </row>
    <row r="102" spans="1:7" x14ac:dyDescent="0.25">
      <c r="A102" t="s">
        <v>462</v>
      </c>
      <c r="B102" t="s">
        <v>186</v>
      </c>
      <c r="C102" t="s">
        <v>477</v>
      </c>
      <c r="D102" t="s">
        <v>478</v>
      </c>
      <c r="E102" t="s">
        <v>16</v>
      </c>
      <c r="F102" t="s">
        <v>212</v>
      </c>
      <c r="G102" t="s">
        <v>11</v>
      </c>
    </row>
    <row r="103" spans="1:7" x14ac:dyDescent="0.25">
      <c r="A103" t="s">
        <v>479</v>
      </c>
      <c r="B103" t="s">
        <v>21</v>
      </c>
      <c r="C103" t="s">
        <v>480</v>
      </c>
      <c r="D103" t="s">
        <v>481</v>
      </c>
      <c r="E103" t="s">
        <v>9</v>
      </c>
      <c r="F103" t="s">
        <v>181</v>
      </c>
      <c r="G103" t="s">
        <v>11</v>
      </c>
    </row>
    <row r="104" spans="1:7" x14ac:dyDescent="0.25">
      <c r="A104" t="s">
        <v>482</v>
      </c>
      <c r="B104" t="s">
        <v>186</v>
      </c>
      <c r="C104" t="s">
        <v>483</v>
      </c>
      <c r="D104" t="s">
        <v>484</v>
      </c>
      <c r="E104" t="s">
        <v>16</v>
      </c>
      <c r="F104" t="s">
        <v>10</v>
      </c>
      <c r="G104" t="s">
        <v>177</v>
      </c>
    </row>
    <row r="105" spans="1:7" x14ac:dyDescent="0.25">
      <c r="A105" t="s">
        <v>485</v>
      </c>
      <c r="B105" t="s">
        <v>173</v>
      </c>
      <c r="C105" t="s">
        <v>486</v>
      </c>
      <c r="D105" t="s">
        <v>487</v>
      </c>
      <c r="E105" t="s">
        <v>16</v>
      </c>
      <c r="F105" t="s">
        <v>23</v>
      </c>
      <c r="G105" t="s">
        <v>17</v>
      </c>
    </row>
    <row r="106" spans="1:7" x14ac:dyDescent="0.25">
      <c r="A106" t="s">
        <v>488</v>
      </c>
      <c r="B106" t="s">
        <v>21</v>
      </c>
      <c r="C106" t="s">
        <v>489</v>
      </c>
      <c r="D106" t="s">
        <v>490</v>
      </c>
      <c r="E106" t="s">
        <v>25</v>
      </c>
      <c r="F106" t="s">
        <v>212</v>
      </c>
      <c r="G106" t="s">
        <v>177</v>
      </c>
    </row>
    <row r="107" spans="1:7" x14ac:dyDescent="0.25">
      <c r="A107" t="s">
        <v>491</v>
      </c>
      <c r="B107" t="s">
        <v>12</v>
      </c>
      <c r="C107" t="s">
        <v>492</v>
      </c>
      <c r="D107" t="s">
        <v>493</v>
      </c>
      <c r="E107" t="s">
        <v>25</v>
      </c>
      <c r="F107" t="s">
        <v>35</v>
      </c>
      <c r="G107" t="s">
        <v>17</v>
      </c>
    </row>
    <row r="108" spans="1:7" x14ac:dyDescent="0.25">
      <c r="A108" t="s">
        <v>494</v>
      </c>
      <c r="B108" t="s">
        <v>21</v>
      </c>
      <c r="C108" t="s">
        <v>495</v>
      </c>
      <c r="D108" t="s">
        <v>496</v>
      </c>
      <c r="E108" t="s">
        <v>9</v>
      </c>
      <c r="F108" t="s">
        <v>14</v>
      </c>
      <c r="G108" t="s">
        <v>17</v>
      </c>
    </row>
    <row r="109" spans="1:7" x14ac:dyDescent="0.25">
      <c r="A109" t="s">
        <v>497</v>
      </c>
      <c r="B109" t="s">
        <v>21</v>
      </c>
      <c r="C109" t="s">
        <v>498</v>
      </c>
      <c r="D109" t="s">
        <v>499</v>
      </c>
      <c r="E109" t="s">
        <v>25</v>
      </c>
      <c r="F109" t="s">
        <v>10</v>
      </c>
      <c r="G109" t="s">
        <v>202</v>
      </c>
    </row>
    <row r="110" spans="1:7" x14ac:dyDescent="0.25">
      <c r="A110" t="s">
        <v>500</v>
      </c>
      <c r="B110" t="s">
        <v>12</v>
      </c>
      <c r="C110" t="s">
        <v>501</v>
      </c>
      <c r="D110" t="s">
        <v>502</v>
      </c>
      <c r="E110" t="s">
        <v>16</v>
      </c>
      <c r="F110" t="s">
        <v>19</v>
      </c>
      <c r="G110" t="s">
        <v>177</v>
      </c>
    </row>
    <row r="111" spans="1:7" x14ac:dyDescent="0.25">
      <c r="A111" t="s">
        <v>503</v>
      </c>
      <c r="B111" t="s">
        <v>186</v>
      </c>
      <c r="C111" t="s">
        <v>504</v>
      </c>
      <c r="D111" t="s">
        <v>505</v>
      </c>
      <c r="E111" t="s">
        <v>25</v>
      </c>
      <c r="F111" t="s">
        <v>10</v>
      </c>
      <c r="G111" t="s">
        <v>202</v>
      </c>
    </row>
    <row r="112" spans="1:7" x14ac:dyDescent="0.25">
      <c r="A112" t="s">
        <v>506</v>
      </c>
      <c r="B112" t="s">
        <v>7</v>
      </c>
      <c r="C112" t="s">
        <v>507</v>
      </c>
      <c r="D112" t="s">
        <v>508</v>
      </c>
      <c r="E112" t="s">
        <v>16</v>
      </c>
      <c r="F112" t="s">
        <v>176</v>
      </c>
      <c r="G112" t="s">
        <v>11</v>
      </c>
    </row>
    <row r="113" spans="1:7" x14ac:dyDescent="0.25">
      <c r="A113" t="s">
        <v>509</v>
      </c>
      <c r="B113" t="s">
        <v>37</v>
      </c>
      <c r="C113" t="s">
        <v>510</v>
      </c>
      <c r="D113" t="s">
        <v>511</v>
      </c>
      <c r="E113" t="s">
        <v>25</v>
      </c>
      <c r="F113" t="s">
        <v>35</v>
      </c>
      <c r="G113" t="s">
        <v>177</v>
      </c>
    </row>
    <row r="114" spans="1:7" x14ac:dyDescent="0.25">
      <c r="A114" t="s">
        <v>382</v>
      </c>
      <c r="B114" t="s">
        <v>12</v>
      </c>
      <c r="C114" t="s">
        <v>512</v>
      </c>
      <c r="D114" t="s">
        <v>513</v>
      </c>
      <c r="E114" t="s">
        <v>9</v>
      </c>
      <c r="F114" t="s">
        <v>176</v>
      </c>
      <c r="G114" t="s">
        <v>11</v>
      </c>
    </row>
    <row r="115" spans="1:7" x14ac:dyDescent="0.25">
      <c r="A115" t="s">
        <v>514</v>
      </c>
      <c r="B115" t="s">
        <v>21</v>
      </c>
      <c r="C115" t="s">
        <v>515</v>
      </c>
      <c r="D115" t="s">
        <v>516</v>
      </c>
      <c r="E115" t="s">
        <v>16</v>
      </c>
      <c r="F115" t="s">
        <v>31</v>
      </c>
      <c r="G115" t="s">
        <v>177</v>
      </c>
    </row>
    <row r="116" spans="1:7" x14ac:dyDescent="0.25">
      <c r="A116" t="s">
        <v>517</v>
      </c>
      <c r="B116" t="s">
        <v>37</v>
      </c>
      <c r="C116" t="s">
        <v>518</v>
      </c>
      <c r="D116" t="s">
        <v>519</v>
      </c>
      <c r="E116" t="s">
        <v>9</v>
      </c>
      <c r="F116" t="s">
        <v>35</v>
      </c>
      <c r="G116" t="s">
        <v>11</v>
      </c>
    </row>
    <row r="117" spans="1:7" x14ac:dyDescent="0.25">
      <c r="A117" t="s">
        <v>520</v>
      </c>
      <c r="B117" t="s">
        <v>7</v>
      </c>
      <c r="C117" t="s">
        <v>521</v>
      </c>
      <c r="D117" t="s">
        <v>522</v>
      </c>
      <c r="E117" t="s">
        <v>25</v>
      </c>
      <c r="F117" t="s">
        <v>181</v>
      </c>
      <c r="G117" t="s">
        <v>11</v>
      </c>
    </row>
    <row r="118" spans="1:7" x14ac:dyDescent="0.25">
      <c r="A118" t="s">
        <v>523</v>
      </c>
      <c r="B118" t="s">
        <v>186</v>
      </c>
      <c r="C118" t="s">
        <v>524</v>
      </c>
      <c r="D118" t="s">
        <v>525</v>
      </c>
      <c r="E118" t="s">
        <v>16</v>
      </c>
      <c r="F118" t="s">
        <v>19</v>
      </c>
      <c r="G118" t="s">
        <v>17</v>
      </c>
    </row>
    <row r="119" spans="1:7" x14ac:dyDescent="0.25">
      <c r="A119" t="s">
        <v>485</v>
      </c>
      <c r="B119" t="s">
        <v>7</v>
      </c>
      <c r="C119" t="s">
        <v>526</v>
      </c>
      <c r="D119" t="s">
        <v>527</v>
      </c>
      <c r="E119" t="s">
        <v>16</v>
      </c>
      <c r="F119" t="s">
        <v>35</v>
      </c>
      <c r="G119" t="s">
        <v>177</v>
      </c>
    </row>
    <row r="120" spans="1:7" x14ac:dyDescent="0.25">
      <c r="A120" t="s">
        <v>296</v>
      </c>
      <c r="B120" t="s">
        <v>193</v>
      </c>
      <c r="C120" t="s">
        <v>528</v>
      </c>
      <c r="D120" t="s">
        <v>529</v>
      </c>
      <c r="E120" t="s">
        <v>9</v>
      </c>
      <c r="F120" t="s">
        <v>176</v>
      </c>
      <c r="G120" t="s">
        <v>11</v>
      </c>
    </row>
    <row r="121" spans="1:7" x14ac:dyDescent="0.25">
      <c r="A121" t="s">
        <v>530</v>
      </c>
      <c r="B121" t="s">
        <v>37</v>
      </c>
      <c r="C121" t="s">
        <v>531</v>
      </c>
      <c r="D121" t="s">
        <v>532</v>
      </c>
      <c r="E121" t="s">
        <v>16</v>
      </c>
      <c r="F121" t="s">
        <v>181</v>
      </c>
      <c r="G121" t="s">
        <v>17</v>
      </c>
    </row>
    <row r="122" spans="1:7" x14ac:dyDescent="0.25">
      <c r="A122" t="s">
        <v>533</v>
      </c>
      <c r="B122" t="s">
        <v>37</v>
      </c>
      <c r="C122" t="s">
        <v>534</v>
      </c>
      <c r="D122" t="s">
        <v>535</v>
      </c>
      <c r="E122" t="s">
        <v>9</v>
      </c>
      <c r="F122" t="s">
        <v>181</v>
      </c>
      <c r="G122" t="s">
        <v>202</v>
      </c>
    </row>
    <row r="123" spans="1:7" x14ac:dyDescent="0.25">
      <c r="A123" t="s">
        <v>536</v>
      </c>
      <c r="B123" t="s">
        <v>186</v>
      </c>
      <c r="C123" t="s">
        <v>537</v>
      </c>
      <c r="D123" t="s">
        <v>538</v>
      </c>
      <c r="E123" t="s">
        <v>25</v>
      </c>
      <c r="F123" t="s">
        <v>19</v>
      </c>
      <c r="G123" t="s">
        <v>11</v>
      </c>
    </row>
    <row r="124" spans="1:7" x14ac:dyDescent="0.25">
      <c r="A124" t="s">
        <v>539</v>
      </c>
      <c r="B124" t="s">
        <v>7</v>
      </c>
      <c r="C124" t="s">
        <v>540</v>
      </c>
      <c r="D124" t="s">
        <v>541</v>
      </c>
      <c r="E124" t="s">
        <v>16</v>
      </c>
      <c r="F124" t="s">
        <v>31</v>
      </c>
      <c r="G124" t="s">
        <v>177</v>
      </c>
    </row>
    <row r="125" spans="1:7" x14ac:dyDescent="0.25">
      <c r="A125" t="s">
        <v>542</v>
      </c>
      <c r="B125" t="s">
        <v>173</v>
      </c>
      <c r="C125" t="s">
        <v>543</v>
      </c>
      <c r="D125" t="s">
        <v>544</v>
      </c>
      <c r="E125" t="s">
        <v>16</v>
      </c>
      <c r="F125" t="s">
        <v>19</v>
      </c>
      <c r="G125" t="s">
        <v>17</v>
      </c>
    </row>
    <row r="126" spans="1:7" x14ac:dyDescent="0.25">
      <c r="A126" t="s">
        <v>199</v>
      </c>
      <c r="B126" t="s">
        <v>173</v>
      </c>
      <c r="C126" t="s">
        <v>545</v>
      </c>
      <c r="D126" t="s">
        <v>546</v>
      </c>
      <c r="E126" t="s">
        <v>25</v>
      </c>
      <c r="F126" t="s">
        <v>23</v>
      </c>
      <c r="G126" t="s">
        <v>17</v>
      </c>
    </row>
    <row r="127" spans="1:7" x14ac:dyDescent="0.25">
      <c r="A127" t="s">
        <v>547</v>
      </c>
      <c r="B127" t="s">
        <v>186</v>
      </c>
      <c r="C127" t="s">
        <v>548</v>
      </c>
      <c r="D127" t="s">
        <v>549</v>
      </c>
      <c r="E127" t="s">
        <v>9</v>
      </c>
      <c r="F127" t="s">
        <v>19</v>
      </c>
      <c r="G127" t="s">
        <v>11</v>
      </c>
    </row>
    <row r="128" spans="1:7" x14ac:dyDescent="0.25">
      <c r="A128" t="s">
        <v>185</v>
      </c>
      <c r="B128" t="s">
        <v>173</v>
      </c>
      <c r="C128" t="s">
        <v>550</v>
      </c>
      <c r="D128" t="s">
        <v>551</v>
      </c>
      <c r="E128" t="s">
        <v>16</v>
      </c>
      <c r="F128" t="s">
        <v>35</v>
      </c>
      <c r="G128" t="s">
        <v>202</v>
      </c>
    </row>
    <row r="129" spans="1:7" x14ac:dyDescent="0.25">
      <c r="A129" t="s">
        <v>468</v>
      </c>
      <c r="B129" t="s">
        <v>12</v>
      </c>
      <c r="C129" t="s">
        <v>552</v>
      </c>
      <c r="D129" t="s">
        <v>553</v>
      </c>
      <c r="E129" t="s">
        <v>16</v>
      </c>
      <c r="F129" t="s">
        <v>19</v>
      </c>
      <c r="G129" t="s">
        <v>177</v>
      </c>
    </row>
    <row r="130" spans="1:7" x14ac:dyDescent="0.25">
      <c r="A130" t="s">
        <v>554</v>
      </c>
      <c r="B130" t="s">
        <v>173</v>
      </c>
      <c r="C130" t="s">
        <v>555</v>
      </c>
      <c r="D130" t="s">
        <v>556</v>
      </c>
      <c r="E130" t="s">
        <v>9</v>
      </c>
      <c r="F130" t="s">
        <v>10</v>
      </c>
      <c r="G130" t="s">
        <v>17</v>
      </c>
    </row>
    <row r="131" spans="1:7" x14ac:dyDescent="0.25">
      <c r="A131" t="s">
        <v>557</v>
      </c>
      <c r="B131" t="s">
        <v>173</v>
      </c>
      <c r="C131" t="s">
        <v>558</v>
      </c>
      <c r="D131" t="s">
        <v>559</v>
      </c>
      <c r="E131" t="s">
        <v>25</v>
      </c>
      <c r="F131" t="s">
        <v>176</v>
      </c>
      <c r="G131" t="s">
        <v>11</v>
      </c>
    </row>
    <row r="132" spans="1:7" x14ac:dyDescent="0.25">
      <c r="A132" t="s">
        <v>560</v>
      </c>
      <c r="B132" t="s">
        <v>186</v>
      </c>
      <c r="C132" t="s">
        <v>561</v>
      </c>
      <c r="D132" t="s">
        <v>562</v>
      </c>
      <c r="E132" t="s">
        <v>16</v>
      </c>
      <c r="F132" t="s">
        <v>35</v>
      </c>
      <c r="G132" t="s">
        <v>177</v>
      </c>
    </row>
    <row r="133" spans="1:7" x14ac:dyDescent="0.25">
      <c r="A133" t="s">
        <v>563</v>
      </c>
      <c r="B133" t="s">
        <v>21</v>
      </c>
      <c r="C133" t="s">
        <v>564</v>
      </c>
      <c r="D133" t="s">
        <v>565</v>
      </c>
      <c r="E133" t="s">
        <v>9</v>
      </c>
      <c r="F133" t="s">
        <v>19</v>
      </c>
      <c r="G133" t="s">
        <v>177</v>
      </c>
    </row>
    <row r="134" spans="1:7" x14ac:dyDescent="0.25">
      <c r="A134" t="s">
        <v>566</v>
      </c>
      <c r="B134" t="s">
        <v>186</v>
      </c>
      <c r="C134" t="s">
        <v>567</v>
      </c>
      <c r="D134" t="s">
        <v>568</v>
      </c>
      <c r="E134" t="s">
        <v>9</v>
      </c>
      <c r="F134" t="s">
        <v>10</v>
      </c>
      <c r="G134" t="s">
        <v>202</v>
      </c>
    </row>
    <row r="135" spans="1:7" x14ac:dyDescent="0.25">
      <c r="A135" t="s">
        <v>388</v>
      </c>
      <c r="B135" t="s">
        <v>37</v>
      </c>
      <c r="C135" t="s">
        <v>569</v>
      </c>
      <c r="D135" t="s">
        <v>570</v>
      </c>
      <c r="E135" t="s">
        <v>16</v>
      </c>
      <c r="F135" t="s">
        <v>212</v>
      </c>
      <c r="G135" t="s">
        <v>202</v>
      </c>
    </row>
    <row r="136" spans="1:7" x14ac:dyDescent="0.25">
      <c r="A136" t="s">
        <v>517</v>
      </c>
      <c r="B136" t="s">
        <v>7</v>
      </c>
      <c r="C136" t="s">
        <v>571</v>
      </c>
      <c r="D136" t="s">
        <v>572</v>
      </c>
      <c r="E136" t="s">
        <v>16</v>
      </c>
      <c r="F136" t="s">
        <v>19</v>
      </c>
      <c r="G136" t="s">
        <v>177</v>
      </c>
    </row>
    <row r="137" spans="1:7" x14ac:dyDescent="0.25">
      <c r="A137" t="s">
        <v>573</v>
      </c>
      <c r="B137" t="s">
        <v>37</v>
      </c>
      <c r="C137" t="s">
        <v>574</v>
      </c>
      <c r="D137" t="s">
        <v>575</v>
      </c>
      <c r="E137" t="s">
        <v>9</v>
      </c>
      <c r="F137" t="s">
        <v>14</v>
      </c>
      <c r="G137" t="s">
        <v>177</v>
      </c>
    </row>
    <row r="138" spans="1:7" x14ac:dyDescent="0.25">
      <c r="A138" t="s">
        <v>576</v>
      </c>
      <c r="B138" t="s">
        <v>12</v>
      </c>
      <c r="C138" t="s">
        <v>577</v>
      </c>
      <c r="D138" t="s">
        <v>578</v>
      </c>
      <c r="E138" t="s">
        <v>16</v>
      </c>
      <c r="F138" t="s">
        <v>181</v>
      </c>
      <c r="G138" t="s">
        <v>17</v>
      </c>
    </row>
    <row r="139" spans="1:7" x14ac:dyDescent="0.25">
      <c r="A139" t="s">
        <v>579</v>
      </c>
      <c r="B139" t="s">
        <v>37</v>
      </c>
      <c r="C139" t="s">
        <v>580</v>
      </c>
      <c r="D139" t="s">
        <v>581</v>
      </c>
      <c r="E139" t="s">
        <v>25</v>
      </c>
      <c r="F139" t="s">
        <v>10</v>
      </c>
      <c r="G139" t="s">
        <v>177</v>
      </c>
    </row>
    <row r="140" spans="1:7" x14ac:dyDescent="0.25">
      <c r="A140" t="s">
        <v>582</v>
      </c>
      <c r="B140" t="s">
        <v>7</v>
      </c>
      <c r="C140" t="s">
        <v>583</v>
      </c>
      <c r="D140" t="s">
        <v>584</v>
      </c>
      <c r="E140" t="s">
        <v>9</v>
      </c>
      <c r="F140" t="s">
        <v>14</v>
      </c>
      <c r="G140" t="s">
        <v>177</v>
      </c>
    </row>
    <row r="141" spans="1:7" x14ac:dyDescent="0.25">
      <c r="A141" t="s">
        <v>585</v>
      </c>
      <c r="B141" t="s">
        <v>37</v>
      </c>
      <c r="C141" t="s">
        <v>586</v>
      </c>
      <c r="D141" t="s">
        <v>587</v>
      </c>
      <c r="E141" t="s">
        <v>25</v>
      </c>
      <c r="F141" t="s">
        <v>10</v>
      </c>
      <c r="G141" t="s">
        <v>177</v>
      </c>
    </row>
    <row r="142" spans="1:7" x14ac:dyDescent="0.25">
      <c r="A142" t="s">
        <v>588</v>
      </c>
      <c r="B142" t="s">
        <v>7</v>
      </c>
      <c r="C142" t="s">
        <v>589</v>
      </c>
      <c r="D142" t="s">
        <v>590</v>
      </c>
      <c r="E142" t="s">
        <v>9</v>
      </c>
      <c r="F142" t="s">
        <v>212</v>
      </c>
      <c r="G142" t="s">
        <v>177</v>
      </c>
    </row>
    <row r="143" spans="1:7" x14ac:dyDescent="0.25">
      <c r="A143" t="s">
        <v>591</v>
      </c>
      <c r="B143" t="s">
        <v>173</v>
      </c>
      <c r="C143" t="s">
        <v>592</v>
      </c>
      <c r="D143" t="s">
        <v>593</v>
      </c>
      <c r="E143" t="s">
        <v>9</v>
      </c>
      <c r="F143" t="s">
        <v>31</v>
      </c>
      <c r="G143" t="s">
        <v>202</v>
      </c>
    </row>
    <row r="144" spans="1:7" x14ac:dyDescent="0.25">
      <c r="A144" t="s">
        <v>594</v>
      </c>
      <c r="B144" t="s">
        <v>7</v>
      </c>
      <c r="C144" t="s">
        <v>595</v>
      </c>
      <c r="D144" t="s">
        <v>596</v>
      </c>
      <c r="E144" t="s">
        <v>25</v>
      </c>
      <c r="F144" t="s">
        <v>10</v>
      </c>
      <c r="G144" t="s">
        <v>202</v>
      </c>
    </row>
    <row r="145" spans="1:7" x14ac:dyDescent="0.25">
      <c r="A145" t="s">
        <v>338</v>
      </c>
      <c r="B145" t="s">
        <v>37</v>
      </c>
      <c r="C145" t="s">
        <v>597</v>
      </c>
      <c r="D145" t="s">
        <v>598</v>
      </c>
      <c r="E145" t="s">
        <v>16</v>
      </c>
      <c r="F145" t="s">
        <v>23</v>
      </c>
      <c r="G145" t="s">
        <v>17</v>
      </c>
    </row>
    <row r="146" spans="1:7" x14ac:dyDescent="0.25">
      <c r="A146" t="s">
        <v>599</v>
      </c>
      <c r="B146" t="s">
        <v>173</v>
      </c>
      <c r="C146" t="s">
        <v>600</v>
      </c>
      <c r="D146" t="s">
        <v>601</v>
      </c>
      <c r="E146" t="s">
        <v>16</v>
      </c>
      <c r="F146" t="s">
        <v>176</v>
      </c>
      <c r="G146" t="s">
        <v>202</v>
      </c>
    </row>
    <row r="147" spans="1:7" x14ac:dyDescent="0.25">
      <c r="A147" t="s">
        <v>347</v>
      </c>
      <c r="B147" t="s">
        <v>186</v>
      </c>
      <c r="C147" t="s">
        <v>602</v>
      </c>
      <c r="D147" t="s">
        <v>603</v>
      </c>
      <c r="E147" t="s">
        <v>9</v>
      </c>
      <c r="F147" t="s">
        <v>14</v>
      </c>
      <c r="G147" t="s">
        <v>202</v>
      </c>
    </row>
    <row r="148" spans="1:7" x14ac:dyDescent="0.25">
      <c r="A148" t="s">
        <v>604</v>
      </c>
      <c r="B148" t="s">
        <v>173</v>
      </c>
      <c r="C148" t="s">
        <v>605</v>
      </c>
      <c r="D148" t="s">
        <v>606</v>
      </c>
      <c r="E148" t="s">
        <v>16</v>
      </c>
      <c r="F148" t="s">
        <v>181</v>
      </c>
      <c r="G148" t="s">
        <v>202</v>
      </c>
    </row>
    <row r="149" spans="1:7" x14ac:dyDescent="0.25">
      <c r="A149" t="s">
        <v>607</v>
      </c>
      <c r="B149" t="s">
        <v>12</v>
      </c>
      <c r="C149" t="s">
        <v>608</v>
      </c>
      <c r="D149" t="s">
        <v>609</v>
      </c>
      <c r="E149" t="s">
        <v>9</v>
      </c>
      <c r="F149" t="s">
        <v>176</v>
      </c>
      <c r="G149" t="s">
        <v>17</v>
      </c>
    </row>
    <row r="150" spans="1:7" x14ac:dyDescent="0.25">
      <c r="A150" t="s">
        <v>610</v>
      </c>
      <c r="B150" t="s">
        <v>12</v>
      </c>
      <c r="C150" t="s">
        <v>611</v>
      </c>
      <c r="D150" t="s">
        <v>612</v>
      </c>
      <c r="E150" t="s">
        <v>25</v>
      </c>
      <c r="F150" t="s">
        <v>212</v>
      </c>
      <c r="G150" t="s">
        <v>202</v>
      </c>
    </row>
    <row r="151" spans="1:7" x14ac:dyDescent="0.25">
      <c r="A151" t="s">
        <v>613</v>
      </c>
      <c r="B151" t="s">
        <v>12</v>
      </c>
      <c r="C151" t="s">
        <v>614</v>
      </c>
      <c r="D151" t="s">
        <v>615</v>
      </c>
      <c r="E151" t="s">
        <v>16</v>
      </c>
      <c r="F151" t="s">
        <v>10</v>
      </c>
      <c r="G151" t="s">
        <v>202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F51150-18EC-4769-B637-24C211A4D5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Pivot_Calc</vt:lpstr>
      <vt:lpstr>Dashboard</vt:lpstr>
      <vt:lpstr>Clean_Data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Svend Rands</cp:lastModifiedBy>
  <dcterms:created xsi:type="dcterms:W3CDTF">2026-03-30T08:53:18Z</dcterms:created>
  <dcterms:modified xsi:type="dcterms:W3CDTF">2026-04-07T12:03:59Z</dcterms:modified>
</cp:coreProperties>
</file>